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man Srivastav\Desktop\"/>
    </mc:Choice>
  </mc:AlternateContent>
  <xr:revisionPtr revIDLastSave="0" documentId="8_{50B53A66-2148-42B8-9DEB-2A007F60234C}" xr6:coauthVersionLast="47" xr6:coauthVersionMax="47" xr10:uidLastSave="{00000000-0000-0000-0000-000000000000}"/>
  <bookViews>
    <workbookView xWindow="-120" yWindow="-120" windowWidth="20730" windowHeight="11160" tabRatio="603" activeTab="1" xr2:uid="{C018CF36-7FD6-49CE-B604-892508D82687}"/>
  </bookViews>
  <sheets>
    <sheet name="Sheet1" sheetId="1" r:id="rId1"/>
    <sheet name="Sheet2" sheetId="2" r:id="rId2"/>
  </sheets>
  <definedNames>
    <definedName name="_xlchart.v1.0" hidden="1">Sheet1!$B$3</definedName>
    <definedName name="_xlchart.v1.1" hidden="1">Sheet1!$B$4:$B$264</definedName>
    <definedName name="_xlchart.v1.10" hidden="1">Sheet1!$G$3</definedName>
    <definedName name="_xlchart.v1.11" hidden="1">Sheet1!$G$4:$G$264</definedName>
    <definedName name="_xlchart.v1.12" hidden="1">Sheet1!$H$3</definedName>
    <definedName name="_xlchart.v1.13" hidden="1">Sheet1!$H$4:$H$264</definedName>
    <definedName name="_xlchart.v1.14" hidden="1">Sheet1!$I$3</definedName>
    <definedName name="_xlchart.v1.15" hidden="1">Sheet1!$I$4:$I$264</definedName>
    <definedName name="_xlchart.v1.16" hidden="1">Sheet1!$J$3</definedName>
    <definedName name="_xlchart.v1.17" hidden="1">Sheet1!$J$4:$J$264</definedName>
    <definedName name="_xlchart.v1.18" hidden="1">Sheet1!$K$3</definedName>
    <definedName name="_xlchart.v1.19" hidden="1">Sheet1!$K$4:$K$264</definedName>
    <definedName name="_xlchart.v1.2" hidden="1">Sheet1!$C$3</definedName>
    <definedName name="_xlchart.v1.20" hidden="1">Sheet1!$L$3</definedName>
    <definedName name="_xlchart.v1.21" hidden="1">Sheet1!$L$4:$L$264</definedName>
    <definedName name="_xlchart.v1.22" hidden="1">Sheet1!$M$3</definedName>
    <definedName name="_xlchart.v1.23" hidden="1">Sheet1!$M$4:$M$264</definedName>
    <definedName name="_xlchart.v1.24" hidden="1">Sheet1!$N$3</definedName>
    <definedName name="_xlchart.v1.25" hidden="1">Sheet1!$N$4:$N$264</definedName>
    <definedName name="_xlchart.v1.26" hidden="1">Sheet1!$O$3</definedName>
    <definedName name="_xlchart.v1.27" hidden="1">Sheet1!$O$4:$O$264</definedName>
    <definedName name="_xlchart.v1.28" hidden="1">Sheet1!$P$3</definedName>
    <definedName name="_xlchart.v1.29" hidden="1">Sheet1!$P$4:$P$264</definedName>
    <definedName name="_xlchart.v1.3" hidden="1">Sheet1!$C$4:$C$264</definedName>
    <definedName name="_xlchart.v1.30" hidden="1">Sheet1!$E$4:$E$263</definedName>
    <definedName name="_xlchart.v1.31" hidden="1">Sheet1!$G$4:$G$263</definedName>
    <definedName name="_xlchart.v1.4" hidden="1">Sheet1!$D$3</definedName>
    <definedName name="_xlchart.v1.5" hidden="1">Sheet1!$D$4:$D$264</definedName>
    <definedName name="_xlchart.v1.6" hidden="1">Sheet1!$E$3</definedName>
    <definedName name="_xlchart.v1.7" hidden="1">Sheet1!$E$4:$E$264</definedName>
    <definedName name="_xlchart.v1.8" hidden="1">Sheet1!$F$3</definedName>
    <definedName name="_xlchart.v1.9" hidden="1">Sheet1!$F$4:$F$264</definedName>
    <definedName name="Slicer_Department">#N/A</definedName>
  </definedNames>
  <calcPr calcId="191029"/>
  <fileRecoveryPr repairLoad="1"/>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I202" i="2" l="1"/>
  <c r="I203" i="2"/>
  <c r="I204" i="2"/>
  <c r="I205" i="2"/>
  <c r="I206" i="2"/>
  <c r="I207" i="2"/>
  <c r="I208" i="2"/>
  <c r="I209" i="2"/>
  <c r="I210" i="2"/>
  <c r="I211" i="2"/>
  <c r="I212" i="2"/>
  <c r="I201" i="2"/>
  <c r="H201" i="2" a="1"/>
  <c r="H201" i="2" s="1"/>
  <c r="H202" i="2" a="1"/>
  <c r="H202" i="2" s="1"/>
  <c r="H203" i="2" a="1"/>
  <c r="H203" i="2"/>
  <c r="H204" i="2" a="1"/>
  <c r="H204" i="2" s="1"/>
  <c r="H205" i="2" a="1"/>
  <c r="H205" i="2"/>
  <c r="H206" i="2" a="1"/>
  <c r="H206" i="2" s="1"/>
  <c r="H207" i="2" a="1"/>
  <c r="H207" i="2"/>
  <c r="H208" i="2" a="1"/>
  <c r="H208" i="2" s="1"/>
  <c r="H209" i="2" a="1"/>
  <c r="H209" i="2"/>
  <c r="H210" i="2" a="1"/>
  <c r="H210" i="2" s="1"/>
  <c r="H211" i="2" a="1"/>
  <c r="H211" i="2" s="1"/>
  <c r="H212" i="2" a="1"/>
  <c r="H212" i="2" s="1"/>
  <c r="G199" i="2"/>
  <c r="B201" i="2" a="1"/>
  <c r="B201" i="2" s="1"/>
  <c r="G202" i="2"/>
  <c r="G203" i="2"/>
  <c r="G204" i="2"/>
  <c r="G205" i="2"/>
  <c r="G206" i="2"/>
  <c r="G207" i="2"/>
  <c r="G208" i="2"/>
  <c r="G209" i="2"/>
  <c r="G210" i="2"/>
  <c r="G211" i="2"/>
  <c r="G212" i="2"/>
  <c r="G1" i="1"/>
  <c r="D199" i="2"/>
  <c r="C199" i="2"/>
  <c r="B133" i="2" a="1"/>
  <c r="B133" i="2" s="1"/>
  <c r="B107" i="2" a="1"/>
  <c r="B107" i="2" s="1"/>
  <c r="C102" i="2" a="1"/>
  <c r="C102" i="2" s="1"/>
  <c r="C100" i="2" a="1"/>
  <c r="C100" i="2" s="1"/>
  <c r="B95" i="2" a="1"/>
  <c r="B95" i="2" s="1"/>
  <c r="E89" i="2"/>
  <c r="E88" i="2"/>
  <c r="E84" i="2"/>
  <c r="E83" i="2"/>
  <c r="E82" i="2" a="1"/>
  <c r="E82" i="2" s="1"/>
  <c r="C90" i="2"/>
  <c r="C89" i="2"/>
  <c r="C88" i="2"/>
  <c r="E90" i="2" s="1"/>
  <c r="C82" i="2"/>
  <c r="C83" i="2"/>
  <c r="C84" i="2"/>
  <c r="B66" i="2" a="1"/>
  <c r="B66" i="2" s="1"/>
  <c r="D65" i="2" s="1"/>
  <c r="E51" i="2" a="1"/>
  <c r="E51" i="2" s="1"/>
  <c r="E52" i="2" a="1"/>
  <c r="E52" i="2" s="1"/>
  <c r="E53" i="2" a="1"/>
  <c r="E53" i="2" s="1"/>
  <c r="E54" i="2" a="1"/>
  <c r="E54" i="2" s="1"/>
  <c r="E50" i="2" a="1"/>
  <c r="E50" i="2" s="1"/>
  <c r="D50" i="2" a="1"/>
  <c r="D50" i="2" s="1"/>
  <c r="D51" i="2" a="1"/>
  <c r="D51" i="2" s="1"/>
  <c r="D52" i="2" a="1"/>
  <c r="D52" i="2" s="1"/>
  <c r="D53" i="2" a="1"/>
  <c r="D53" i="2" s="1"/>
  <c r="D54" i="2" a="1"/>
  <c r="D54" i="2" s="1"/>
  <c r="E49" i="2"/>
  <c r="D49" i="2"/>
  <c r="E48" i="2"/>
  <c r="D48" i="2"/>
  <c r="C57" i="2" a="1"/>
  <c r="C57" i="2" s="1"/>
  <c r="C51" i="2"/>
  <c r="C52" i="2"/>
  <c r="C53" i="2"/>
  <c r="C54" i="2"/>
  <c r="C50" i="2"/>
  <c r="C49" i="2"/>
  <c r="C48" i="2"/>
  <c r="O5" i="1"/>
  <c r="P5" i="1"/>
  <c r="O6" i="1"/>
  <c r="P6" i="1"/>
  <c r="O7" i="1"/>
  <c r="P7" i="1"/>
  <c r="O8" i="1"/>
  <c r="P8" i="1"/>
  <c r="O9" i="1"/>
  <c r="P9" i="1"/>
  <c r="O10" i="1"/>
  <c r="P10" i="1"/>
  <c r="O11" i="1"/>
  <c r="P11" i="1"/>
  <c r="O12" i="1"/>
  <c r="P12" i="1"/>
  <c r="O13" i="1"/>
  <c r="P13" i="1"/>
  <c r="O14" i="1"/>
  <c r="P14" i="1"/>
  <c r="O15" i="1"/>
  <c r="P15" i="1"/>
  <c r="O16" i="1"/>
  <c r="P16" i="1"/>
  <c r="O17" i="1"/>
  <c r="P17" i="1"/>
  <c r="O18" i="1"/>
  <c r="P18" i="1"/>
  <c r="O19" i="1"/>
  <c r="P19" i="1"/>
  <c r="O20" i="1"/>
  <c r="P20" i="1"/>
  <c r="O21" i="1"/>
  <c r="P21" i="1"/>
  <c r="O22" i="1"/>
  <c r="P22" i="1"/>
  <c r="O23" i="1"/>
  <c r="P23" i="1"/>
  <c r="O24" i="1"/>
  <c r="P24" i="1"/>
  <c r="O25" i="1"/>
  <c r="P25" i="1"/>
  <c r="O26" i="1"/>
  <c r="P26" i="1"/>
  <c r="O27" i="1"/>
  <c r="P27" i="1"/>
  <c r="O28" i="1"/>
  <c r="P28" i="1"/>
  <c r="O29" i="1"/>
  <c r="P29" i="1"/>
  <c r="O30" i="1"/>
  <c r="P30" i="1"/>
  <c r="O31" i="1"/>
  <c r="P31" i="1"/>
  <c r="O32" i="1"/>
  <c r="P32" i="1"/>
  <c r="O33" i="1"/>
  <c r="P33" i="1"/>
  <c r="O34" i="1"/>
  <c r="P34" i="1"/>
  <c r="O35" i="1"/>
  <c r="P35" i="1"/>
  <c r="O36" i="1"/>
  <c r="P36" i="1"/>
  <c r="O37" i="1"/>
  <c r="P37" i="1"/>
  <c r="O38" i="1"/>
  <c r="P38" i="1"/>
  <c r="O39" i="1"/>
  <c r="P39" i="1"/>
  <c r="O40" i="1"/>
  <c r="P40" i="1"/>
  <c r="O41" i="1"/>
  <c r="P41" i="1"/>
  <c r="O42" i="1"/>
  <c r="P42" i="1"/>
  <c r="O43" i="1"/>
  <c r="P43" i="1"/>
  <c r="O44" i="1"/>
  <c r="P44" i="1"/>
  <c r="O45" i="1"/>
  <c r="P45" i="1"/>
  <c r="O46" i="1"/>
  <c r="P46" i="1"/>
  <c r="O47" i="1"/>
  <c r="P47" i="1"/>
  <c r="O48" i="1"/>
  <c r="P48" i="1"/>
  <c r="O49" i="1"/>
  <c r="P49" i="1"/>
  <c r="O50" i="1"/>
  <c r="P50" i="1"/>
  <c r="O51" i="1"/>
  <c r="P51" i="1"/>
  <c r="O52" i="1"/>
  <c r="P52" i="1"/>
  <c r="O53" i="1"/>
  <c r="P53" i="1"/>
  <c r="O54" i="1"/>
  <c r="P54" i="1"/>
  <c r="O55" i="1"/>
  <c r="P55" i="1"/>
  <c r="O56" i="1"/>
  <c r="P56" i="1"/>
  <c r="O57" i="1"/>
  <c r="P57" i="1"/>
  <c r="O58" i="1"/>
  <c r="P58" i="1"/>
  <c r="O59" i="1"/>
  <c r="P59" i="1"/>
  <c r="O60" i="1"/>
  <c r="P60" i="1"/>
  <c r="O61" i="1"/>
  <c r="P61" i="1"/>
  <c r="O62" i="1"/>
  <c r="P62" i="1"/>
  <c r="O63" i="1"/>
  <c r="P63" i="1"/>
  <c r="O64" i="1"/>
  <c r="P64" i="1"/>
  <c r="O65" i="1"/>
  <c r="P65" i="1"/>
  <c r="O66" i="1"/>
  <c r="P66" i="1"/>
  <c r="O67" i="1"/>
  <c r="P67" i="1"/>
  <c r="O68" i="1"/>
  <c r="P68" i="1"/>
  <c r="O69" i="1"/>
  <c r="P69" i="1"/>
  <c r="O70" i="1"/>
  <c r="P70" i="1"/>
  <c r="O71" i="1"/>
  <c r="P71" i="1"/>
  <c r="O72" i="1"/>
  <c r="P72" i="1"/>
  <c r="O73" i="1"/>
  <c r="P73" i="1"/>
  <c r="O74" i="1"/>
  <c r="P74" i="1"/>
  <c r="O75" i="1"/>
  <c r="P75" i="1"/>
  <c r="O76" i="1"/>
  <c r="P76" i="1"/>
  <c r="O77" i="1"/>
  <c r="P77" i="1"/>
  <c r="O78" i="1"/>
  <c r="P78" i="1"/>
  <c r="O79" i="1"/>
  <c r="P79" i="1"/>
  <c r="O80" i="1"/>
  <c r="P80" i="1"/>
  <c r="O81" i="1"/>
  <c r="P81" i="1"/>
  <c r="O82" i="1"/>
  <c r="P82" i="1"/>
  <c r="O83" i="1"/>
  <c r="P83" i="1"/>
  <c r="O84" i="1"/>
  <c r="P84" i="1"/>
  <c r="O85" i="1"/>
  <c r="P85" i="1"/>
  <c r="O86" i="1"/>
  <c r="P86" i="1"/>
  <c r="O87" i="1"/>
  <c r="P87" i="1"/>
  <c r="O88" i="1"/>
  <c r="P88" i="1"/>
  <c r="O89" i="1"/>
  <c r="P89" i="1"/>
  <c r="O90" i="1"/>
  <c r="P90" i="1"/>
  <c r="O91" i="1"/>
  <c r="P91" i="1"/>
  <c r="O92" i="1"/>
  <c r="P92" i="1"/>
  <c r="O93" i="1"/>
  <c r="P93" i="1"/>
  <c r="O94" i="1"/>
  <c r="P94" i="1"/>
  <c r="O95" i="1"/>
  <c r="P95" i="1"/>
  <c r="O96" i="1"/>
  <c r="P96" i="1"/>
  <c r="O97" i="1"/>
  <c r="P97" i="1"/>
  <c r="O98" i="1"/>
  <c r="P98" i="1"/>
  <c r="O99" i="1"/>
  <c r="P99" i="1"/>
  <c r="O100" i="1"/>
  <c r="P100" i="1"/>
  <c r="O101" i="1"/>
  <c r="P101" i="1"/>
  <c r="O102" i="1"/>
  <c r="P102" i="1"/>
  <c r="O103" i="1"/>
  <c r="P103" i="1"/>
  <c r="O104" i="1"/>
  <c r="P104" i="1"/>
  <c r="O105" i="1"/>
  <c r="P105" i="1"/>
  <c r="O106" i="1"/>
  <c r="P106" i="1"/>
  <c r="O107" i="1"/>
  <c r="P107" i="1"/>
  <c r="O108" i="1"/>
  <c r="P108" i="1"/>
  <c r="O109" i="1"/>
  <c r="P109" i="1"/>
  <c r="O110" i="1"/>
  <c r="P110" i="1"/>
  <c r="O111" i="1"/>
  <c r="P111" i="1"/>
  <c r="O112" i="1"/>
  <c r="P112" i="1"/>
  <c r="O113" i="1"/>
  <c r="P113" i="1"/>
  <c r="O114" i="1"/>
  <c r="P114" i="1"/>
  <c r="O115" i="1"/>
  <c r="P115" i="1"/>
  <c r="O116" i="1"/>
  <c r="P116" i="1"/>
  <c r="O117" i="1"/>
  <c r="P117" i="1"/>
  <c r="O118" i="1"/>
  <c r="P118" i="1"/>
  <c r="O119" i="1"/>
  <c r="P119" i="1"/>
  <c r="O120" i="1"/>
  <c r="P120" i="1"/>
  <c r="O121" i="1"/>
  <c r="P121" i="1"/>
  <c r="O122" i="1"/>
  <c r="P122" i="1"/>
  <c r="O123" i="1"/>
  <c r="P123" i="1"/>
  <c r="O124" i="1"/>
  <c r="P124" i="1"/>
  <c r="O125" i="1"/>
  <c r="P125" i="1"/>
  <c r="O126" i="1"/>
  <c r="P126" i="1"/>
  <c r="O127" i="1"/>
  <c r="P127" i="1"/>
  <c r="O128" i="1"/>
  <c r="P128" i="1"/>
  <c r="O129" i="1"/>
  <c r="P129" i="1"/>
  <c r="O130" i="1"/>
  <c r="P130" i="1"/>
  <c r="O131" i="1"/>
  <c r="P131" i="1"/>
  <c r="O132" i="1"/>
  <c r="P132" i="1"/>
  <c r="O133" i="1"/>
  <c r="P133" i="1"/>
  <c r="O134" i="1"/>
  <c r="P134" i="1"/>
  <c r="O135" i="1"/>
  <c r="P135" i="1"/>
  <c r="O136" i="1"/>
  <c r="P136" i="1"/>
  <c r="O137" i="1"/>
  <c r="P137" i="1"/>
  <c r="O138" i="1"/>
  <c r="P138" i="1"/>
  <c r="O139" i="1"/>
  <c r="P139" i="1"/>
  <c r="O140" i="1"/>
  <c r="P140" i="1"/>
  <c r="O141" i="1"/>
  <c r="P141" i="1"/>
  <c r="O142" i="1"/>
  <c r="P142" i="1"/>
  <c r="O143" i="1"/>
  <c r="P143" i="1"/>
  <c r="O144" i="1"/>
  <c r="P144" i="1"/>
  <c r="O145" i="1"/>
  <c r="P145" i="1"/>
  <c r="O146" i="1"/>
  <c r="P146" i="1"/>
  <c r="O147" i="1"/>
  <c r="P147" i="1"/>
  <c r="O148" i="1"/>
  <c r="P148" i="1"/>
  <c r="O149" i="1"/>
  <c r="P149" i="1"/>
  <c r="O150" i="1"/>
  <c r="P150" i="1"/>
  <c r="O151" i="1"/>
  <c r="P151" i="1"/>
  <c r="O152" i="1"/>
  <c r="P152" i="1"/>
  <c r="O153" i="1"/>
  <c r="P153" i="1"/>
  <c r="O154" i="1"/>
  <c r="P154" i="1"/>
  <c r="O155" i="1"/>
  <c r="P155" i="1"/>
  <c r="O156" i="1"/>
  <c r="P156" i="1"/>
  <c r="O157" i="1"/>
  <c r="P157" i="1"/>
  <c r="O158" i="1"/>
  <c r="P158" i="1"/>
  <c r="O159" i="1"/>
  <c r="P159" i="1"/>
  <c r="O160" i="1"/>
  <c r="P160" i="1"/>
  <c r="O161" i="1"/>
  <c r="P161" i="1"/>
  <c r="O162" i="1"/>
  <c r="P162" i="1"/>
  <c r="O163" i="1"/>
  <c r="P163" i="1"/>
  <c r="O164" i="1"/>
  <c r="P164" i="1"/>
  <c r="O165" i="1"/>
  <c r="P165" i="1"/>
  <c r="O166" i="1"/>
  <c r="P166" i="1"/>
  <c r="O167" i="1"/>
  <c r="P167" i="1"/>
  <c r="O168" i="1"/>
  <c r="P168" i="1"/>
  <c r="O169" i="1"/>
  <c r="P169" i="1"/>
  <c r="O170" i="1"/>
  <c r="P170" i="1"/>
  <c r="O171" i="1"/>
  <c r="P171" i="1"/>
  <c r="O172" i="1"/>
  <c r="P172" i="1"/>
  <c r="O173" i="1"/>
  <c r="P173" i="1"/>
  <c r="O174" i="1"/>
  <c r="P174" i="1"/>
  <c r="O175" i="1"/>
  <c r="P175" i="1"/>
  <c r="O176" i="1"/>
  <c r="P176" i="1"/>
  <c r="O177" i="1"/>
  <c r="P177" i="1"/>
  <c r="O178" i="1"/>
  <c r="P178" i="1"/>
  <c r="O179" i="1"/>
  <c r="P179" i="1"/>
  <c r="O180" i="1"/>
  <c r="P180" i="1"/>
  <c r="O181" i="1"/>
  <c r="P181" i="1"/>
  <c r="O182" i="1"/>
  <c r="P182" i="1"/>
  <c r="O183" i="1"/>
  <c r="P183" i="1"/>
  <c r="O184" i="1"/>
  <c r="P184" i="1"/>
  <c r="O185" i="1"/>
  <c r="P185" i="1"/>
  <c r="O186" i="1"/>
  <c r="P186" i="1"/>
  <c r="O187" i="1"/>
  <c r="P187" i="1"/>
  <c r="O188" i="1"/>
  <c r="P188" i="1"/>
  <c r="O189" i="1"/>
  <c r="P189" i="1"/>
  <c r="O190" i="1"/>
  <c r="P190" i="1"/>
  <c r="O191" i="1"/>
  <c r="P191" i="1"/>
  <c r="O192" i="1"/>
  <c r="P192" i="1"/>
  <c r="O193" i="1"/>
  <c r="P193" i="1"/>
  <c r="O194" i="1"/>
  <c r="P194" i="1"/>
  <c r="O195" i="1"/>
  <c r="P195" i="1"/>
  <c r="O196" i="1"/>
  <c r="P196" i="1"/>
  <c r="O197" i="1"/>
  <c r="P197" i="1"/>
  <c r="O198" i="1"/>
  <c r="P198" i="1"/>
  <c r="O199" i="1"/>
  <c r="P199" i="1"/>
  <c r="O200" i="1"/>
  <c r="P200" i="1"/>
  <c r="O201" i="1"/>
  <c r="P201" i="1"/>
  <c r="O202" i="1"/>
  <c r="P202" i="1"/>
  <c r="O203" i="1"/>
  <c r="P203" i="1"/>
  <c r="O204" i="1"/>
  <c r="P204" i="1"/>
  <c r="O205" i="1"/>
  <c r="P205" i="1"/>
  <c r="O206" i="1"/>
  <c r="P206" i="1"/>
  <c r="O207" i="1"/>
  <c r="P207" i="1"/>
  <c r="O208" i="1"/>
  <c r="P208" i="1"/>
  <c r="O209" i="1"/>
  <c r="P209" i="1"/>
  <c r="O210" i="1"/>
  <c r="P210" i="1"/>
  <c r="O211" i="1"/>
  <c r="P211" i="1"/>
  <c r="O212" i="1"/>
  <c r="P212" i="1"/>
  <c r="O213" i="1"/>
  <c r="P213" i="1"/>
  <c r="O214" i="1"/>
  <c r="P214" i="1"/>
  <c r="O215" i="1"/>
  <c r="P215" i="1"/>
  <c r="O216" i="1"/>
  <c r="P216" i="1"/>
  <c r="O217" i="1"/>
  <c r="P217" i="1"/>
  <c r="O218" i="1"/>
  <c r="P218" i="1"/>
  <c r="O219" i="1"/>
  <c r="P219" i="1"/>
  <c r="O220" i="1"/>
  <c r="P220" i="1"/>
  <c r="O221" i="1"/>
  <c r="P221" i="1"/>
  <c r="O222" i="1"/>
  <c r="P222" i="1"/>
  <c r="O223" i="1"/>
  <c r="P223" i="1"/>
  <c r="O224" i="1"/>
  <c r="P224" i="1"/>
  <c r="O225" i="1"/>
  <c r="P225" i="1"/>
  <c r="O226" i="1"/>
  <c r="P226" i="1"/>
  <c r="O227" i="1"/>
  <c r="P227" i="1"/>
  <c r="O228" i="1"/>
  <c r="P228" i="1"/>
  <c r="O229" i="1"/>
  <c r="P229" i="1"/>
  <c r="O230" i="1"/>
  <c r="P230" i="1"/>
  <c r="O231" i="1"/>
  <c r="P231" i="1"/>
  <c r="O232" i="1"/>
  <c r="P232" i="1"/>
  <c r="O233" i="1"/>
  <c r="P233" i="1"/>
  <c r="O234" i="1"/>
  <c r="P234" i="1"/>
  <c r="O235" i="1"/>
  <c r="P235" i="1"/>
  <c r="O236" i="1"/>
  <c r="P236" i="1"/>
  <c r="O237" i="1"/>
  <c r="P237" i="1"/>
  <c r="O238" i="1"/>
  <c r="P238" i="1"/>
  <c r="O239" i="1"/>
  <c r="P239" i="1"/>
  <c r="O240" i="1"/>
  <c r="P240" i="1"/>
  <c r="O241" i="1"/>
  <c r="P241" i="1"/>
  <c r="O242" i="1"/>
  <c r="P242" i="1"/>
  <c r="O243" i="1"/>
  <c r="P243" i="1"/>
  <c r="O244" i="1"/>
  <c r="P244" i="1"/>
  <c r="O245" i="1"/>
  <c r="P245" i="1"/>
  <c r="O246" i="1"/>
  <c r="P246" i="1"/>
  <c r="O247" i="1"/>
  <c r="P247" i="1"/>
  <c r="O248" i="1"/>
  <c r="P248" i="1"/>
  <c r="O249" i="1"/>
  <c r="P249" i="1"/>
  <c r="O250" i="1"/>
  <c r="P250" i="1"/>
  <c r="O251" i="1"/>
  <c r="P251" i="1"/>
  <c r="O252" i="1"/>
  <c r="P252" i="1"/>
  <c r="O253" i="1"/>
  <c r="P253" i="1"/>
  <c r="O254" i="1"/>
  <c r="P254" i="1"/>
  <c r="O255" i="1"/>
  <c r="P255" i="1"/>
  <c r="O256" i="1"/>
  <c r="P256" i="1"/>
  <c r="O257" i="1"/>
  <c r="P257" i="1"/>
  <c r="O258" i="1"/>
  <c r="P258" i="1"/>
  <c r="O259" i="1"/>
  <c r="P259" i="1"/>
  <c r="O260" i="1"/>
  <c r="P260" i="1"/>
  <c r="O261" i="1"/>
  <c r="P261" i="1"/>
  <c r="O262" i="1"/>
  <c r="P262" i="1"/>
  <c r="O263" i="1"/>
  <c r="P263" i="1"/>
  <c r="O4" i="1"/>
  <c r="P4" i="1"/>
  <c r="B18" i="2" a="1"/>
  <c r="B18" i="2" s="1"/>
  <c r="G9" i="2"/>
  <c r="G3" i="2"/>
  <c r="G4" i="2"/>
  <c r="G5" i="2"/>
  <c r="G6" i="2"/>
  <c r="G7" i="2"/>
  <c r="G8" i="2"/>
  <c r="G10" i="2"/>
  <c r="G11" i="2"/>
  <c r="G12" i="2"/>
  <c r="G13" i="2"/>
  <c r="G14" i="2"/>
  <c r="G15" i="2"/>
  <c r="E3" i="2"/>
  <c r="E4" i="2"/>
  <c r="E5" i="2"/>
  <c r="E6" i="2"/>
  <c r="E7" i="2"/>
  <c r="E8" i="2"/>
  <c r="E9" i="2"/>
  <c r="E10" i="2"/>
  <c r="E11" i="2"/>
  <c r="E12" i="2"/>
  <c r="E13" i="2"/>
  <c r="E14" i="2"/>
  <c r="E15" i="2"/>
  <c r="D3" i="2"/>
  <c r="D4" i="2"/>
  <c r="D5" i="2"/>
  <c r="D6" i="2"/>
  <c r="D7" i="2"/>
  <c r="D8" i="2"/>
  <c r="D9" i="2"/>
  <c r="D10" i="2"/>
  <c r="D11" i="2"/>
  <c r="D12" i="2"/>
  <c r="D13" i="2"/>
  <c r="D14" i="2"/>
  <c r="D15" i="2"/>
  <c r="C4" i="2"/>
  <c r="C5" i="2"/>
  <c r="C6" i="2"/>
  <c r="C7" i="2"/>
  <c r="C8" i="2"/>
  <c r="C9" i="2"/>
  <c r="C10" i="2"/>
  <c r="C11" i="2"/>
  <c r="C12" i="2"/>
  <c r="C13" i="2"/>
  <c r="C14" i="2"/>
  <c r="C15" i="2"/>
  <c r="C3" i="2"/>
  <c r="G287" i="1" a="1"/>
  <c r="G287" i="1" s="1"/>
  <c r="G289" i="1" s="1" a="1"/>
  <c r="G289" i="1" s="1"/>
  <c r="G291" i="1" s="1" a="1"/>
  <c r="G291" i="1" s="1"/>
  <c r="G288" i="1" a="1"/>
  <c r="G288" i="1" s="1"/>
  <c r="G290" i="1" s="1" a="1"/>
  <c r="G290" i="1" s="1"/>
  <c r="K291" i="1"/>
  <c r="J291" i="1"/>
  <c r="I291" i="1"/>
  <c r="H291" i="1"/>
  <c r="K290" i="1"/>
  <c r="J290" i="1"/>
  <c r="I290" i="1"/>
  <c r="H290" i="1"/>
  <c r="K289" i="1"/>
  <c r="J289" i="1"/>
  <c r="I289" i="1"/>
  <c r="H289" i="1"/>
  <c r="K288" i="1"/>
  <c r="J288" i="1"/>
  <c r="I288" i="1"/>
  <c r="H288" i="1"/>
  <c r="K287" i="1"/>
  <c r="J287" i="1"/>
  <c r="I287" i="1"/>
  <c r="H287" i="1"/>
  <c r="G277" i="1"/>
  <c r="F278" i="1"/>
  <c r="F279" i="1"/>
  <c r="F280" i="1"/>
  <c r="F281" i="1"/>
  <c r="F277" i="1"/>
  <c r="H277" i="1"/>
  <c r="I277" i="1"/>
  <c r="J277" i="1"/>
  <c r="G278" i="1"/>
  <c r="H278" i="1"/>
  <c r="I278" i="1"/>
  <c r="J278" i="1"/>
  <c r="G279" i="1"/>
  <c r="H279" i="1"/>
  <c r="I279" i="1"/>
  <c r="J279" i="1"/>
  <c r="G280" i="1"/>
  <c r="H280" i="1"/>
  <c r="I280" i="1"/>
  <c r="J280" i="1"/>
  <c r="G281" i="1"/>
  <c r="H281" i="1"/>
  <c r="I281" i="1"/>
  <c r="J281" i="1"/>
  <c r="J1" i="1"/>
  <c r="N1" i="1"/>
  <c r="D201" i="2" l="1"/>
  <c r="G201" i="2"/>
  <c r="J131" i="2"/>
  <c r="E201" i="2"/>
  <c r="F201" i="2" s="1" a="1"/>
  <c r="F201" i="2" s="1"/>
  <c r="C206" i="2"/>
  <c r="D210" i="2"/>
  <c r="E210" i="2" s="1"/>
  <c r="F210" i="2" s="1" a="1"/>
  <c r="F210" i="2" s="1"/>
  <c r="D202" i="2"/>
  <c r="E202" i="2" s="1"/>
  <c r="F202" i="2" s="1" a="1"/>
  <c r="F202" i="2" s="1"/>
  <c r="C201" i="2"/>
  <c r="C209" i="2"/>
  <c r="C205" i="2"/>
  <c r="D209" i="2"/>
  <c r="E209" i="2" s="1"/>
  <c r="F209" i="2" s="1" a="1"/>
  <c r="F209" i="2" s="1"/>
  <c r="C212" i="2"/>
  <c r="C208" i="2"/>
  <c r="C204" i="2"/>
  <c r="D212" i="2"/>
  <c r="E212" i="2" s="1"/>
  <c r="F212" i="2" s="1" a="1"/>
  <c r="F212" i="2" s="1"/>
  <c r="D208" i="2"/>
  <c r="E208" i="2" s="1"/>
  <c r="F208" i="2" s="1" a="1"/>
  <c r="F208" i="2" s="1"/>
  <c r="D204" i="2"/>
  <c r="E204" i="2" s="1"/>
  <c r="F204" i="2" s="1" a="1"/>
  <c r="F204" i="2" s="1"/>
  <c r="C210" i="2"/>
  <c r="C202" i="2"/>
  <c r="D206" i="2"/>
  <c r="E206" i="2" s="1"/>
  <c r="F206" i="2" s="1" a="1"/>
  <c r="F206" i="2" s="1"/>
  <c r="D205" i="2"/>
  <c r="E205" i="2" s="1"/>
  <c r="F205" i="2" s="1" a="1"/>
  <c r="F205" i="2" s="1"/>
  <c r="C211" i="2"/>
  <c r="C207" i="2"/>
  <c r="C203" i="2"/>
  <c r="D211" i="2"/>
  <c r="E211" i="2" s="1"/>
  <c r="F211" i="2" s="1" a="1"/>
  <c r="F211" i="2" s="1"/>
  <c r="D207" i="2"/>
  <c r="E207" i="2" s="1"/>
  <c r="F207" i="2" s="1" a="1"/>
  <c r="F207" i="2" s="1"/>
  <c r="D203" i="2"/>
  <c r="E203" i="2" s="1"/>
  <c r="F203" i="2" s="1" a="1"/>
  <c r="F203" i="2" s="1"/>
  <c r="B19" i="2" a="1"/>
  <c r="B19" i="2" s="1"/>
  <c r="Q226"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<sst xmlns="http://schemas.openxmlformats.org/spreadsheetml/2006/main" count="2433" uniqueCount="784">
  <si>
    <t>Emp ID</t>
  </si>
  <si>
    <t>First Name</t>
  </si>
  <si>
    <t>Last Name</t>
  </si>
  <si>
    <t>Gender</t>
  </si>
  <si>
    <t>Department</t>
  </si>
  <si>
    <t>Salary</t>
  </si>
  <si>
    <t>Salary Bucket</t>
  </si>
  <si>
    <t>Start Date</t>
  </si>
  <si>
    <t>FTE</t>
  </si>
  <si>
    <t>Employee type</t>
  </si>
  <si>
    <t>Work location</t>
  </si>
  <si>
    <t>Tenure</t>
  </si>
  <si>
    <t>Work Type</t>
  </si>
  <si>
    <t>PR00007</t>
  </si>
  <si>
    <t>Torrance</t>
  </si>
  <si>
    <t>Collier</t>
  </si>
  <si>
    <t>Female</t>
  </si>
  <si>
    <t>Training</t>
  </si>
  <si>
    <t>50k to 100k</t>
  </si>
  <si>
    <t>Permanent</t>
  </si>
  <si>
    <t>Wellington, New Zealand</t>
  </si>
  <si>
    <t>Part time</t>
  </si>
  <si>
    <t>PR00095</t>
  </si>
  <si>
    <t>Devrat</t>
  </si>
  <si>
    <t>Damarsingh</t>
  </si>
  <si>
    <t>Business Development</t>
  </si>
  <si>
    <t>Hyderabad, India</t>
  </si>
  <si>
    <t>Full time</t>
  </si>
  <si>
    <t>PR00113</t>
  </si>
  <si>
    <t>Van</t>
  </si>
  <si>
    <t>Tuxwell</t>
  </si>
  <si>
    <t>Columbus, USA</t>
  </si>
  <si>
    <t>PR00147</t>
  </si>
  <si>
    <t>Minerva</t>
  </si>
  <si>
    <t>Ricardot</t>
  </si>
  <si>
    <t>Male</t>
  </si>
  <si>
    <t>Engineering</t>
  </si>
  <si>
    <t>Above 100k</t>
  </si>
  <si>
    <t>Remote</t>
  </si>
  <si>
    <t>PR00246</t>
  </si>
  <si>
    <t>Husein</t>
  </si>
  <si>
    <t>Augar</t>
  </si>
  <si>
    <t>Marketing</t>
  </si>
  <si>
    <t>PR00419</t>
  </si>
  <si>
    <t>Billi</t>
  </si>
  <si>
    <t>Fellgate</t>
  </si>
  <si>
    <t>PR00576</t>
  </si>
  <si>
    <t>Lalitchandra</t>
  </si>
  <si>
    <t>Vadali</t>
  </si>
  <si>
    <t>Legal</t>
  </si>
  <si>
    <t>PR00746</t>
  </si>
  <si>
    <t>Hogan</t>
  </si>
  <si>
    <t>Iles</t>
  </si>
  <si>
    <t>Accounting</t>
  </si>
  <si>
    <t>PR00770</t>
  </si>
  <si>
    <t>Beryl</t>
  </si>
  <si>
    <t>Burnsyde</t>
  </si>
  <si>
    <t>Under 50k</t>
  </si>
  <si>
    <t>PR00882</t>
  </si>
  <si>
    <t>Jill</t>
  </si>
  <si>
    <t>Shipsey</t>
  </si>
  <si>
    <t>PR00893</t>
  </si>
  <si>
    <t>Vasavi</t>
  </si>
  <si>
    <t>Veeravasarapu</t>
  </si>
  <si>
    <t>Human Resources</t>
  </si>
  <si>
    <t>PR00916</t>
  </si>
  <si>
    <t>Inger</t>
  </si>
  <si>
    <t>Chapelhow</t>
  </si>
  <si>
    <t>Research and Development</t>
  </si>
  <si>
    <t>PR01055</t>
  </si>
  <si>
    <t>Devasree</t>
  </si>
  <si>
    <t>Fullara</t>
  </si>
  <si>
    <t>Chennai, India</t>
  </si>
  <si>
    <t>PR01159</t>
  </si>
  <si>
    <t>Mollie</t>
  </si>
  <si>
    <t>Hanway</t>
  </si>
  <si>
    <t>Seattle, USA</t>
  </si>
  <si>
    <t>PR01211</t>
  </si>
  <si>
    <t>Enoch</t>
  </si>
  <si>
    <t>Dowrey</t>
  </si>
  <si>
    <t>Auckland, New Zealand</t>
  </si>
  <si>
    <t>PR01269</t>
  </si>
  <si>
    <t>Eleonore</t>
  </si>
  <si>
    <t>Airdrie</t>
  </si>
  <si>
    <t>PR01306</t>
  </si>
  <si>
    <t>Patti</t>
  </si>
  <si>
    <t>Dradey</t>
  </si>
  <si>
    <t>Services</t>
  </si>
  <si>
    <t>PR01346</t>
  </si>
  <si>
    <t>Adolph</t>
  </si>
  <si>
    <t>McNalley</t>
  </si>
  <si>
    <t>PR01383</t>
  </si>
  <si>
    <t>Addi</t>
  </si>
  <si>
    <t>Studdeard</t>
  </si>
  <si>
    <t>Product Management</t>
  </si>
  <si>
    <t>PR01476</t>
  </si>
  <si>
    <t>Jaishree</t>
  </si>
  <si>
    <t>Atasi</t>
  </si>
  <si>
    <t>PR01662</t>
  </si>
  <si>
    <t>Genevra</t>
  </si>
  <si>
    <t>Friday</t>
  </si>
  <si>
    <t>PR01943</t>
  </si>
  <si>
    <t>Rameshwari</t>
  </si>
  <si>
    <t>Chikodi</t>
  </si>
  <si>
    <t>PR01956</t>
  </si>
  <si>
    <t>Jamesy</t>
  </si>
  <si>
    <t>O'Ferris</t>
  </si>
  <si>
    <t>PR02010</t>
  </si>
  <si>
    <t>Prerana</t>
  </si>
  <si>
    <t>Nishita</t>
  </si>
  <si>
    <t>PR02016</t>
  </si>
  <si>
    <t>Iris</t>
  </si>
  <si>
    <t>Wagg</t>
  </si>
  <si>
    <t>PR02113</t>
  </si>
  <si>
    <t>Beverie</t>
  </si>
  <si>
    <t>Moffet</t>
  </si>
  <si>
    <t>Support</t>
  </si>
  <si>
    <t>PR02140</t>
  </si>
  <si>
    <t>Anjushri</t>
  </si>
  <si>
    <t>Chandiramani</t>
  </si>
  <si>
    <t>PR02208</t>
  </si>
  <si>
    <t>Gowri</t>
  </si>
  <si>
    <t>Sankar</t>
  </si>
  <si>
    <t>PR02275</t>
  </si>
  <si>
    <t>Louise</t>
  </si>
  <si>
    <t>Lamming</t>
  </si>
  <si>
    <t>Sales</t>
  </si>
  <si>
    <t>PR02288</t>
  </si>
  <si>
    <t>Althea</t>
  </si>
  <si>
    <t>Bronger</t>
  </si>
  <si>
    <t>PR02321</t>
  </si>
  <si>
    <t>Evanne</t>
  </si>
  <si>
    <t>Sheryn</t>
  </si>
  <si>
    <t>PR02436</t>
  </si>
  <si>
    <t>Marmaduke</t>
  </si>
  <si>
    <t>Worssam</t>
  </si>
  <si>
    <t>PR02603</t>
  </si>
  <si>
    <t>Dinanath</t>
  </si>
  <si>
    <t>Simhambhatla</t>
  </si>
  <si>
    <t>PR02782</t>
  </si>
  <si>
    <t>Isaak</t>
  </si>
  <si>
    <t>Rawne</t>
  </si>
  <si>
    <t>PR02957</t>
  </si>
  <si>
    <t>Vaughn</t>
  </si>
  <si>
    <t>Carvill</t>
  </si>
  <si>
    <t>PR03034</t>
  </si>
  <si>
    <t>Sreenivasa</t>
  </si>
  <si>
    <t>Naik</t>
  </si>
  <si>
    <t>PR03137</t>
  </si>
  <si>
    <t>Jagajeet</t>
  </si>
  <si>
    <t>Viraj</t>
  </si>
  <si>
    <t>PR03158</t>
  </si>
  <si>
    <t>Danica</t>
  </si>
  <si>
    <t>Nayshe</t>
  </si>
  <si>
    <t>PR03271</t>
  </si>
  <si>
    <t>Stan</t>
  </si>
  <si>
    <t>Tolliday</t>
  </si>
  <si>
    <t>PR03445</t>
  </si>
  <si>
    <t>Myrle</t>
  </si>
  <si>
    <t>Prandoni</t>
  </si>
  <si>
    <t>PR03532</t>
  </si>
  <si>
    <t>Crawford</t>
  </si>
  <si>
    <t>Scad</t>
  </si>
  <si>
    <t>PR03804</t>
  </si>
  <si>
    <t>Pratigya</t>
  </si>
  <si>
    <t>Rema</t>
  </si>
  <si>
    <t>Sartaj</t>
  </si>
  <si>
    <t>Probal</t>
  </si>
  <si>
    <t>PR03844</t>
  </si>
  <si>
    <t>Brose</t>
  </si>
  <si>
    <t>MacCorkell</t>
  </si>
  <si>
    <t>PR03886</t>
  </si>
  <si>
    <t>Edd</t>
  </si>
  <si>
    <t>MacKnockiter</t>
  </si>
  <si>
    <t>PR03980</t>
  </si>
  <si>
    <t>Kath</t>
  </si>
  <si>
    <t>Bletsoe</t>
  </si>
  <si>
    <t>PR04366</t>
  </si>
  <si>
    <t>Carry</t>
  </si>
  <si>
    <t>Loblie</t>
  </si>
  <si>
    <t>PR04380</t>
  </si>
  <si>
    <t>PR04446</t>
  </si>
  <si>
    <t>Sameer</t>
  </si>
  <si>
    <t>Shashank</t>
  </si>
  <si>
    <t>PR04473</t>
  </si>
  <si>
    <t>Wyn</t>
  </si>
  <si>
    <t>Treadger</t>
  </si>
  <si>
    <t>PR04601</t>
  </si>
  <si>
    <t>Yedukondalu</t>
  </si>
  <si>
    <t>Panditula</t>
  </si>
  <si>
    <t>Need to check</t>
  </si>
  <si>
    <t>PR04686</t>
  </si>
  <si>
    <t>Oona</t>
  </si>
  <si>
    <t>Donan</t>
  </si>
  <si>
    <t>PR04851</t>
  </si>
  <si>
    <t>Rodina</t>
  </si>
  <si>
    <t>Drinan</t>
  </si>
  <si>
    <t>SQ00022</t>
  </si>
  <si>
    <t>Carlin</t>
  </si>
  <si>
    <t>Demke</t>
  </si>
  <si>
    <t>SQ00070</t>
  </si>
  <si>
    <t>Larissa</t>
  </si>
  <si>
    <t>Ingledow</t>
  </si>
  <si>
    <t>SQ00105</t>
  </si>
  <si>
    <t>Sarayu</t>
  </si>
  <si>
    <t>Ragunathan</t>
  </si>
  <si>
    <t>SQ00144</t>
  </si>
  <si>
    <t>Collen</t>
  </si>
  <si>
    <t>Dunbleton</t>
  </si>
  <si>
    <t>SQ00187</t>
  </si>
  <si>
    <t>Rupak</t>
  </si>
  <si>
    <t>Mehra</t>
  </si>
  <si>
    <t>SQ00286</t>
  </si>
  <si>
    <t>Ilesh</t>
  </si>
  <si>
    <t>Dasgupta</t>
  </si>
  <si>
    <t>SQ00360</t>
  </si>
  <si>
    <t>Orlando</t>
  </si>
  <si>
    <t>Gorstidge</t>
  </si>
  <si>
    <t>SQ00450</t>
  </si>
  <si>
    <t>SQ00498</t>
  </si>
  <si>
    <t>Amery</t>
  </si>
  <si>
    <t>Ofer</t>
  </si>
  <si>
    <t>SQ00612</t>
  </si>
  <si>
    <t>Leena</t>
  </si>
  <si>
    <t>Bruckshaw</t>
  </si>
  <si>
    <t>SQ00691</t>
  </si>
  <si>
    <t>Verla</t>
  </si>
  <si>
    <t>Timmis</t>
  </si>
  <si>
    <t>SQ00841</t>
  </si>
  <si>
    <t>Bhuvan</t>
  </si>
  <si>
    <t>Pals</t>
  </si>
  <si>
    <t>SQ00914</t>
  </si>
  <si>
    <t>Duran</t>
  </si>
  <si>
    <t>Appala</t>
  </si>
  <si>
    <t>Karuna</t>
  </si>
  <si>
    <t>Pashupathy</t>
  </si>
  <si>
    <t>SQ00960</t>
  </si>
  <si>
    <t>Calvin</t>
  </si>
  <si>
    <t>O'Carroll</t>
  </si>
  <si>
    <t>SQ01026</t>
  </si>
  <si>
    <t>Anumati</t>
  </si>
  <si>
    <t>Shyamari</t>
  </si>
  <si>
    <t>SQ01177</t>
  </si>
  <si>
    <t>Nazeer</t>
  </si>
  <si>
    <t>Basha</t>
  </si>
  <si>
    <t>SQ01283</t>
  </si>
  <si>
    <t>Barr</t>
  </si>
  <si>
    <t>Faughny</t>
  </si>
  <si>
    <t>SQ01395</t>
  </si>
  <si>
    <t>Dennison</t>
  </si>
  <si>
    <t>Crosswaite</t>
  </si>
  <si>
    <t>SQ01402</t>
  </si>
  <si>
    <t>Sahaj</t>
  </si>
  <si>
    <t>Jonnalagadda</t>
  </si>
  <si>
    <t>SQ01519</t>
  </si>
  <si>
    <t>Caron</t>
  </si>
  <si>
    <t>Kolakovic</t>
  </si>
  <si>
    <t>SQ01620</t>
  </si>
  <si>
    <t>Westbrook</t>
  </si>
  <si>
    <t>Brandino</t>
  </si>
  <si>
    <t>SQ01637</t>
  </si>
  <si>
    <t>Joaquin</t>
  </si>
  <si>
    <t>McVitty</t>
  </si>
  <si>
    <t>SQ01697</t>
  </si>
  <si>
    <t>Makshi</t>
  </si>
  <si>
    <t>Vinutha</t>
  </si>
  <si>
    <t>SQ01730</t>
  </si>
  <si>
    <t>Austine</t>
  </si>
  <si>
    <t>Littlewood</t>
  </si>
  <si>
    <t>SQ01829</t>
  </si>
  <si>
    <t>Mabel</t>
  </si>
  <si>
    <t>Orrow</t>
  </si>
  <si>
    <t>SQ01854</t>
  </si>
  <si>
    <t>Jessica</t>
  </si>
  <si>
    <t>Callcott</t>
  </si>
  <si>
    <t>SQ01998</t>
  </si>
  <si>
    <t>Vanmala</t>
  </si>
  <si>
    <t>Shriharsha</t>
  </si>
  <si>
    <t>Sahas</t>
  </si>
  <si>
    <t>Sanabhi</t>
  </si>
  <si>
    <t>SQ02035</t>
  </si>
  <si>
    <t>Anni</t>
  </si>
  <si>
    <t>Izzard</t>
  </si>
  <si>
    <t>SQ02174</t>
  </si>
  <si>
    <t>Sidoney</t>
  </si>
  <si>
    <t>Yitzhok</t>
  </si>
  <si>
    <t>SQ02223</t>
  </si>
  <si>
    <t>Pippy</t>
  </si>
  <si>
    <t>Shepperd</t>
  </si>
  <si>
    <t>SQ02246</t>
  </si>
  <si>
    <t>Matias</t>
  </si>
  <si>
    <t>Cormack</t>
  </si>
  <si>
    <t>SQ02371</t>
  </si>
  <si>
    <t>Alida</t>
  </si>
  <si>
    <t>Welman</t>
  </si>
  <si>
    <t>SQ02424</t>
  </si>
  <si>
    <t>Kevalkumar</t>
  </si>
  <si>
    <t>Solanki</t>
  </si>
  <si>
    <t>SQ02465</t>
  </si>
  <si>
    <t>Bernie</t>
  </si>
  <si>
    <t>Gorges</t>
  </si>
  <si>
    <t>SQ02525</t>
  </si>
  <si>
    <t>Mickie</t>
  </si>
  <si>
    <t>Dagwell</t>
  </si>
  <si>
    <t>SQ02559</t>
  </si>
  <si>
    <t>Aldrich</t>
  </si>
  <si>
    <t>Glenny</t>
  </si>
  <si>
    <t>SQ02565</t>
  </si>
  <si>
    <t>Konstantin</t>
  </si>
  <si>
    <t>Timblett</t>
  </si>
  <si>
    <t>SQ02582</t>
  </si>
  <si>
    <t>Kaishori</t>
  </si>
  <si>
    <t>Harathi</t>
  </si>
  <si>
    <t>SQ02624</t>
  </si>
  <si>
    <t>Gwenneth</t>
  </si>
  <si>
    <t>Fealey</t>
  </si>
  <si>
    <t>SQ02638</t>
  </si>
  <si>
    <t>Cara</t>
  </si>
  <si>
    <t>Havers</t>
  </si>
  <si>
    <t>SQ02643</t>
  </si>
  <si>
    <t>Indu</t>
  </si>
  <si>
    <t>Varada</t>
  </si>
  <si>
    <t>SQ02703</t>
  </si>
  <si>
    <t>Deepit</t>
  </si>
  <si>
    <t>Ranjana</t>
  </si>
  <si>
    <t>SQ03024</t>
  </si>
  <si>
    <t>Inge</t>
  </si>
  <si>
    <t>Creer</t>
  </si>
  <si>
    <t>SQ03112</t>
  </si>
  <si>
    <t>Kantimoy</t>
  </si>
  <si>
    <t>Pritish</t>
  </si>
  <si>
    <t>SQ03116</t>
  </si>
  <si>
    <t>Syd</t>
  </si>
  <si>
    <t>Fearn</t>
  </si>
  <si>
    <t>SQ03321</t>
  </si>
  <si>
    <t>Gradey</t>
  </si>
  <si>
    <t>Litton</t>
  </si>
  <si>
    <t>SQ03350</t>
  </si>
  <si>
    <t>Felice</t>
  </si>
  <si>
    <t>McMurty</t>
  </si>
  <si>
    <t>SQ03387</t>
  </si>
  <si>
    <t>Robinia</t>
  </si>
  <si>
    <t>Scholling</t>
  </si>
  <si>
    <t>SQ03476</t>
  </si>
  <si>
    <t>Ramalingam</t>
  </si>
  <si>
    <t>Kothapeta</t>
  </si>
  <si>
    <t>SQ03491</t>
  </si>
  <si>
    <t>Freda</t>
  </si>
  <si>
    <t>Legan</t>
  </si>
  <si>
    <t>SQ03546</t>
  </si>
  <si>
    <t>Amlankusum</t>
  </si>
  <si>
    <t>Rajabhushan</t>
  </si>
  <si>
    <t>SQ03625</t>
  </si>
  <si>
    <t>Fidela</t>
  </si>
  <si>
    <t>Artis</t>
  </si>
  <si>
    <t>SQ03626</t>
  </si>
  <si>
    <t>Krishnakanta</t>
  </si>
  <si>
    <t>Vellanki</t>
  </si>
  <si>
    <t>SQ03733</t>
  </si>
  <si>
    <t>Revkah</t>
  </si>
  <si>
    <t>Antonacci</t>
  </si>
  <si>
    <t>SQ04437</t>
  </si>
  <si>
    <t>Hephzibah</t>
  </si>
  <si>
    <t>Summerell</t>
  </si>
  <si>
    <t>SQ04488</t>
  </si>
  <si>
    <t>Ramnath</t>
  </si>
  <si>
    <t>Ravuri</t>
  </si>
  <si>
    <t>SQ04598</t>
  </si>
  <si>
    <t>Pearla</t>
  </si>
  <si>
    <t>Beteriss</t>
  </si>
  <si>
    <t>SQ04603</t>
  </si>
  <si>
    <t>Natalee</t>
  </si>
  <si>
    <t>Craiker</t>
  </si>
  <si>
    <t>SQ04612</t>
  </si>
  <si>
    <t>Mick</t>
  </si>
  <si>
    <t>Spraberry</t>
  </si>
  <si>
    <t>SQ04613</t>
  </si>
  <si>
    <t>Sarojini</t>
  </si>
  <si>
    <t>Naueshwara</t>
  </si>
  <si>
    <t>SQ04665</t>
  </si>
  <si>
    <t>Collin</t>
  </si>
  <si>
    <t>Jagson</t>
  </si>
  <si>
    <t>SQ04960</t>
  </si>
  <si>
    <t>Shubhra</t>
  </si>
  <si>
    <t>Potla</t>
  </si>
  <si>
    <t>TN00083</t>
  </si>
  <si>
    <t>Chandana</t>
  </si>
  <si>
    <t>Sannidhi</t>
  </si>
  <si>
    <t>TN00182</t>
  </si>
  <si>
    <t>Camilla</t>
  </si>
  <si>
    <t>Castle</t>
  </si>
  <si>
    <t>TN00214</t>
  </si>
  <si>
    <t>Devsena</t>
  </si>
  <si>
    <t>Veluvalapalli</t>
  </si>
  <si>
    <t>Hemavati</t>
  </si>
  <si>
    <t>Muthiah</t>
  </si>
  <si>
    <t>TN00227</t>
  </si>
  <si>
    <t>Raghuveer</t>
  </si>
  <si>
    <t>Yettugunna</t>
  </si>
  <si>
    <t>TN00258</t>
  </si>
  <si>
    <t>Joyce</t>
  </si>
  <si>
    <t>Leyband</t>
  </si>
  <si>
    <t>TN00328</t>
  </si>
  <si>
    <t>Jeannie</t>
  </si>
  <si>
    <t>Petracco</t>
  </si>
  <si>
    <t>TN00464</t>
  </si>
  <si>
    <t>Gopal</t>
  </si>
  <si>
    <t>Venkata</t>
  </si>
  <si>
    <t>TN00579</t>
  </si>
  <si>
    <t>Rafaelita</t>
  </si>
  <si>
    <t>Blaksland</t>
  </si>
  <si>
    <t>TN00698</t>
  </si>
  <si>
    <t>Barbara-anne</t>
  </si>
  <si>
    <t>Kenchington</t>
  </si>
  <si>
    <t>TN00727</t>
  </si>
  <si>
    <t>Dulsea</t>
  </si>
  <si>
    <t>Folkes</t>
  </si>
  <si>
    <t>TN00735</t>
  </si>
  <si>
    <t>Caresa</t>
  </si>
  <si>
    <t>Christer</t>
  </si>
  <si>
    <t>TN00890</t>
  </si>
  <si>
    <t>Mayur</t>
  </si>
  <si>
    <t>Kousika</t>
  </si>
  <si>
    <t>TN01028</t>
  </si>
  <si>
    <t>Alicea</t>
  </si>
  <si>
    <t>Pudsall</t>
  </si>
  <si>
    <t>TN01210</t>
  </si>
  <si>
    <t>Alyosha</t>
  </si>
  <si>
    <t>Riquet</t>
  </si>
  <si>
    <t>TN01256</t>
  </si>
  <si>
    <t>Shattesh</t>
  </si>
  <si>
    <t>Utpat</t>
  </si>
  <si>
    <t>Sawini</t>
  </si>
  <si>
    <t>Chandan</t>
  </si>
  <si>
    <t>TN01281</t>
  </si>
  <si>
    <t>Cletus</t>
  </si>
  <si>
    <t>McGarahan</t>
  </si>
  <si>
    <t>TN01340</t>
  </si>
  <si>
    <t>Granny</t>
  </si>
  <si>
    <t>Spencelayh</t>
  </si>
  <si>
    <t>TN01396</t>
  </si>
  <si>
    <t>Koral</t>
  </si>
  <si>
    <t>Gerriet</t>
  </si>
  <si>
    <t>TN01566</t>
  </si>
  <si>
    <t>Fonzie</t>
  </si>
  <si>
    <t>O'Shea</t>
  </si>
  <si>
    <t>TN01601</t>
  </si>
  <si>
    <t>Melva</t>
  </si>
  <si>
    <t>Jickells</t>
  </si>
  <si>
    <t>TN01632</t>
  </si>
  <si>
    <t>Katya</t>
  </si>
  <si>
    <t>Hundy</t>
  </si>
  <si>
    <t>TN01701</t>
  </si>
  <si>
    <t>Yves</t>
  </si>
  <si>
    <t>Pawlik</t>
  </si>
  <si>
    <t>TN01876</t>
  </si>
  <si>
    <t>Aileen</t>
  </si>
  <si>
    <t>McCritchie</t>
  </si>
  <si>
    <t>TN01912</t>
  </si>
  <si>
    <t>Fred</t>
  </si>
  <si>
    <t>Dudeney</t>
  </si>
  <si>
    <t>TN02204</t>
  </si>
  <si>
    <t>TN02205</t>
  </si>
  <si>
    <t>Madhumati</t>
  </si>
  <si>
    <t>Gazala</t>
  </si>
  <si>
    <t>TN02377</t>
  </si>
  <si>
    <t>Anjela</t>
  </si>
  <si>
    <t>Spancock</t>
  </si>
  <si>
    <t>TN02397</t>
  </si>
  <si>
    <t>Mendel</t>
  </si>
  <si>
    <t>Gentsch</t>
  </si>
  <si>
    <t>TN02496</t>
  </si>
  <si>
    <t>Ponnan</t>
  </si>
  <si>
    <t>Delhi</t>
  </si>
  <si>
    <t>TN02570</t>
  </si>
  <si>
    <t>Grady</t>
  </si>
  <si>
    <t>Rochelle</t>
  </si>
  <si>
    <t>TN02674</t>
  </si>
  <si>
    <t>Antonetta</t>
  </si>
  <si>
    <t>Coggeshall</t>
  </si>
  <si>
    <t>TN02727</t>
  </si>
  <si>
    <t>Wald</t>
  </si>
  <si>
    <t>Bountiff</t>
  </si>
  <si>
    <t>TN02749</t>
  </si>
  <si>
    <t>Parasuramudu</t>
  </si>
  <si>
    <t>Jamakayala</t>
  </si>
  <si>
    <t>TN02798</t>
  </si>
  <si>
    <t>Krittika</t>
  </si>
  <si>
    <t>Gaekwad</t>
  </si>
  <si>
    <t>TN02883</t>
  </si>
  <si>
    <t>John</t>
  </si>
  <si>
    <t>Joseph</t>
  </si>
  <si>
    <t>TN02988</t>
  </si>
  <si>
    <t>Mahindra</t>
  </si>
  <si>
    <t>Sreedharan</t>
  </si>
  <si>
    <t>TN03032</t>
  </si>
  <si>
    <t>Jaipal</t>
  </si>
  <si>
    <t>Potanapudi</t>
  </si>
  <si>
    <t>Sushanti</t>
  </si>
  <si>
    <t>TN03068</t>
  </si>
  <si>
    <t>Gumwant</t>
  </si>
  <si>
    <t>Veera</t>
  </si>
  <si>
    <t>Fixed Term</t>
  </si>
  <si>
    <t>TN03097</t>
  </si>
  <si>
    <t>Bendite</t>
  </si>
  <si>
    <t>Bloan</t>
  </si>
  <si>
    <t>TN03169</t>
  </si>
  <si>
    <t>Doe</t>
  </si>
  <si>
    <t>Clubley</t>
  </si>
  <si>
    <t>TN03210</t>
  </si>
  <si>
    <t>Suman</t>
  </si>
  <si>
    <t>Katte</t>
  </si>
  <si>
    <t>TN03331</t>
  </si>
  <si>
    <t>TN03355</t>
  </si>
  <si>
    <t>Ruby</t>
  </si>
  <si>
    <t>Cracie</t>
  </si>
  <si>
    <t>TN03416</t>
  </si>
  <si>
    <t>Seward</t>
  </si>
  <si>
    <t>Kubera</t>
  </si>
  <si>
    <t>TN03575</t>
  </si>
  <si>
    <t>Janina</t>
  </si>
  <si>
    <t>Wolverson</t>
  </si>
  <si>
    <t>TN04058</t>
  </si>
  <si>
    <t>Subbarao</t>
  </si>
  <si>
    <t>Malladi</t>
  </si>
  <si>
    <t>Vasu</t>
  </si>
  <si>
    <t>Nandin</t>
  </si>
  <si>
    <t>TN04067</t>
  </si>
  <si>
    <t>Lea</t>
  </si>
  <si>
    <t>Chaplin</t>
  </si>
  <si>
    <t>TN04101</t>
  </si>
  <si>
    <t>Marline</t>
  </si>
  <si>
    <t>Wahncke</t>
  </si>
  <si>
    <t>TN04166</t>
  </si>
  <si>
    <t>Tadio</t>
  </si>
  <si>
    <t>Dowdle</t>
  </si>
  <si>
    <t>TN04175</t>
  </si>
  <si>
    <t>Hinda</t>
  </si>
  <si>
    <t>Label</t>
  </si>
  <si>
    <t>TN04246</t>
  </si>
  <si>
    <t>Shaylyn</t>
  </si>
  <si>
    <t>Ransbury</t>
  </si>
  <si>
    <t>TN04265</t>
  </si>
  <si>
    <t>Rushil</t>
  </si>
  <si>
    <t>Kripa</t>
  </si>
  <si>
    <t>TN04428</t>
  </si>
  <si>
    <t>Audritt</t>
  </si>
  <si>
    <t>TN04660</t>
  </si>
  <si>
    <t>Thedrick</t>
  </si>
  <si>
    <t>Bothwell</t>
  </si>
  <si>
    <t>TN04740</t>
  </si>
  <si>
    <t>Tristam</t>
  </si>
  <si>
    <t>Cuming</t>
  </si>
  <si>
    <t>TN04775</t>
  </si>
  <si>
    <t>Hridaynath</t>
  </si>
  <si>
    <t>Tendulkar</t>
  </si>
  <si>
    <t>TN04892</t>
  </si>
  <si>
    <t>Luca</t>
  </si>
  <si>
    <t>Wolstenholme</t>
  </si>
  <si>
    <t>VT00194</t>
  </si>
  <si>
    <t>Violante</t>
  </si>
  <si>
    <t>Courtonne</t>
  </si>
  <si>
    <t>VT00336</t>
  </si>
  <si>
    <t>Shevantilal</t>
  </si>
  <si>
    <t>Muppala</t>
  </si>
  <si>
    <t>VT00476</t>
  </si>
  <si>
    <t>Hartin</t>
  </si>
  <si>
    <t>VT00534</t>
  </si>
  <si>
    <t>Roselle</t>
  </si>
  <si>
    <t>Wandrach</t>
  </si>
  <si>
    <t>VT00578</t>
  </si>
  <si>
    <t>Magnum</t>
  </si>
  <si>
    <t>Locksley</t>
  </si>
  <si>
    <t>VT00596</t>
  </si>
  <si>
    <t>Letisha</t>
  </si>
  <si>
    <t>Carrett</t>
  </si>
  <si>
    <t>VT00687</t>
  </si>
  <si>
    <t>Godavari</t>
  </si>
  <si>
    <t>Veena</t>
  </si>
  <si>
    <t>VT00740</t>
  </si>
  <si>
    <t>Chitrasen</t>
  </si>
  <si>
    <t>Laul</t>
  </si>
  <si>
    <t>VT01092</t>
  </si>
  <si>
    <t>Tabby</t>
  </si>
  <si>
    <t>Astall</t>
  </si>
  <si>
    <t>VT01101</t>
  </si>
  <si>
    <t>Adela</t>
  </si>
  <si>
    <t>Dowsett</t>
  </si>
  <si>
    <t>VT01246</t>
  </si>
  <si>
    <t>Zach</t>
  </si>
  <si>
    <t>Polon</t>
  </si>
  <si>
    <t>VT01249</t>
  </si>
  <si>
    <t>Brendan</t>
  </si>
  <si>
    <t>Edgeller</t>
  </si>
  <si>
    <t>VT01323</t>
  </si>
  <si>
    <t>Mardav</t>
  </si>
  <si>
    <t>Ramaswami</t>
  </si>
  <si>
    <t>VT01523</t>
  </si>
  <si>
    <t>Charmane</t>
  </si>
  <si>
    <t>Heistermann</t>
  </si>
  <si>
    <t>VT01610</t>
  </si>
  <si>
    <t>Dhruv</t>
  </si>
  <si>
    <t>Manjunath</t>
  </si>
  <si>
    <t>Kunja</t>
  </si>
  <si>
    <t>Prashanta</t>
  </si>
  <si>
    <t>VT01684</t>
  </si>
  <si>
    <t>Audry</t>
  </si>
  <si>
    <t>Yu</t>
  </si>
  <si>
    <t>VT01703</t>
  </si>
  <si>
    <t>Upendra</t>
  </si>
  <si>
    <t>Swati</t>
  </si>
  <si>
    <t>VT01740</t>
  </si>
  <si>
    <t>Ginger</t>
  </si>
  <si>
    <t>Myott</t>
  </si>
  <si>
    <t>VT01762</t>
  </si>
  <si>
    <t>Geena</t>
  </si>
  <si>
    <t>Raghavanpillai</t>
  </si>
  <si>
    <t>VT01803</t>
  </si>
  <si>
    <t>Freddy</t>
  </si>
  <si>
    <t>Linford</t>
  </si>
  <si>
    <t>VT01893</t>
  </si>
  <si>
    <t>Lindy</t>
  </si>
  <si>
    <t>Guillet</t>
  </si>
  <si>
    <t>VT01996</t>
  </si>
  <si>
    <t>Hali</t>
  </si>
  <si>
    <t>Behnecke</t>
  </si>
  <si>
    <t>VT02118</t>
  </si>
  <si>
    <t>Oorjit</t>
  </si>
  <si>
    <t>Nandanavanam</t>
  </si>
  <si>
    <t>VT02260</t>
  </si>
  <si>
    <t>Rhiamon</t>
  </si>
  <si>
    <t>Mollison</t>
  </si>
  <si>
    <t>Temporary</t>
  </si>
  <si>
    <t>VT02313</t>
  </si>
  <si>
    <t>Thekla</t>
  </si>
  <si>
    <t>Lynnett</t>
  </si>
  <si>
    <t>VT02319</t>
  </si>
  <si>
    <t>Tarala</t>
  </si>
  <si>
    <t>Vishaal</t>
  </si>
  <si>
    <t>VT02374</t>
  </si>
  <si>
    <t>Delphine</t>
  </si>
  <si>
    <t>Jewis</t>
  </si>
  <si>
    <t>VT02417</t>
  </si>
  <si>
    <t>Evangelina</t>
  </si>
  <si>
    <t>Lergan</t>
  </si>
  <si>
    <t>VT02491</t>
  </si>
  <si>
    <t>Alexis</t>
  </si>
  <si>
    <t>Gotfrey</t>
  </si>
  <si>
    <t>VT02532</t>
  </si>
  <si>
    <t>Adey</t>
  </si>
  <si>
    <t>Ryal</t>
  </si>
  <si>
    <t>VT02539</t>
  </si>
  <si>
    <t>Devinne</t>
  </si>
  <si>
    <t>Tuny</t>
  </si>
  <si>
    <t>VT02663</t>
  </si>
  <si>
    <t>Sravanthi</t>
  </si>
  <si>
    <t>Chalaki</t>
  </si>
  <si>
    <t>VT02801</t>
  </si>
  <si>
    <t>Shellysheldon</t>
  </si>
  <si>
    <t>Mahady</t>
  </si>
  <si>
    <t>VT03298</t>
  </si>
  <si>
    <t>Nonah</t>
  </si>
  <si>
    <t>Bissell</t>
  </si>
  <si>
    <t>VT03307</t>
  </si>
  <si>
    <t>Tallie</t>
  </si>
  <si>
    <t>Chaikovski</t>
  </si>
  <si>
    <t>VT03421</t>
  </si>
  <si>
    <t>Alic</t>
  </si>
  <si>
    <t>Bagg</t>
  </si>
  <si>
    <t>VT03500</t>
  </si>
  <si>
    <t>Shiuli</t>
  </si>
  <si>
    <t>Sapna</t>
  </si>
  <si>
    <t>VT03537</t>
  </si>
  <si>
    <t>Renaldo</t>
  </si>
  <si>
    <t>Thomassin</t>
  </si>
  <si>
    <t>VT03552</t>
  </si>
  <si>
    <t>Kamalakshi</t>
  </si>
  <si>
    <t>Mukundan</t>
  </si>
  <si>
    <t>VT03701</t>
  </si>
  <si>
    <t>Narois</t>
  </si>
  <si>
    <t>Motiwala</t>
  </si>
  <si>
    <t>VT03704</t>
  </si>
  <si>
    <t>Egor</t>
  </si>
  <si>
    <t>Minto</t>
  </si>
  <si>
    <t>VT03771</t>
  </si>
  <si>
    <t>Marjie</t>
  </si>
  <si>
    <t>Bamford</t>
  </si>
  <si>
    <t>VT03849</t>
  </si>
  <si>
    <t>Leonidas</t>
  </si>
  <si>
    <t>Cavaney</t>
  </si>
  <si>
    <t>VT03988</t>
  </si>
  <si>
    <t>Venkat</t>
  </si>
  <si>
    <t>Kodi</t>
  </si>
  <si>
    <t>VT03993</t>
  </si>
  <si>
    <t>Dulce</t>
  </si>
  <si>
    <t>Colbeck</t>
  </si>
  <si>
    <t>VT04028</t>
  </si>
  <si>
    <t>Michale</t>
  </si>
  <si>
    <t>Rolf</t>
  </si>
  <si>
    <t>VT04093</t>
  </si>
  <si>
    <t>Prasanna</t>
  </si>
  <si>
    <t>Lakshmi</t>
  </si>
  <si>
    <t>Baruna</t>
  </si>
  <si>
    <t>Ogale</t>
  </si>
  <si>
    <t>VT04137</t>
  </si>
  <si>
    <t>Marissa</t>
  </si>
  <si>
    <t>Infante</t>
  </si>
  <si>
    <t>VT04273</t>
  </si>
  <si>
    <t>Brad</t>
  </si>
  <si>
    <t>Gumb</t>
  </si>
  <si>
    <t>VT04350</t>
  </si>
  <si>
    <t>Kulbhushan</t>
  </si>
  <si>
    <t>Moorthy</t>
  </si>
  <si>
    <t>Lalit</t>
  </si>
  <si>
    <t>Kothari</t>
  </si>
  <si>
    <t>VT04373</t>
  </si>
  <si>
    <t>Edi</t>
  </si>
  <si>
    <t>Hofton</t>
  </si>
  <si>
    <t>VT04415</t>
  </si>
  <si>
    <t>Malory</t>
  </si>
  <si>
    <t>Biles</t>
  </si>
  <si>
    <t>VT04467</t>
  </si>
  <si>
    <t>Amal</t>
  </si>
  <si>
    <t>Nimesh</t>
  </si>
  <si>
    <t>VT04552</t>
  </si>
  <si>
    <t>Theresita</t>
  </si>
  <si>
    <t>Chasmer</t>
  </si>
  <si>
    <t>VT04627</t>
  </si>
  <si>
    <t>Yvette</t>
  </si>
  <si>
    <t>Bett</t>
  </si>
  <si>
    <t>VT04681</t>
  </si>
  <si>
    <t>Nickolai</t>
  </si>
  <si>
    <t>Artin</t>
  </si>
  <si>
    <t>VT04905</t>
  </si>
  <si>
    <t>Suchira</t>
  </si>
  <si>
    <t>Bhanupriya</t>
  </si>
  <si>
    <t>VT04984</t>
  </si>
  <si>
    <t>Dell</t>
  </si>
  <si>
    <t>Molloy</t>
  </si>
  <si>
    <t>Total</t>
  </si>
  <si>
    <t>Amount(In NZD)</t>
  </si>
  <si>
    <t>USD</t>
  </si>
  <si>
    <t>INR</t>
  </si>
  <si>
    <t>GBP</t>
  </si>
  <si>
    <t>EUR</t>
  </si>
  <si>
    <t>AUD</t>
  </si>
  <si>
    <t xml:space="preserve"> </t>
  </si>
  <si>
    <t>Bonus</t>
  </si>
  <si>
    <t>Bonus2</t>
  </si>
  <si>
    <t>Head Count</t>
  </si>
  <si>
    <t xml:space="preserve">Total Salary </t>
  </si>
  <si>
    <t>Average Salary</t>
  </si>
  <si>
    <t>Permanent Headcount</t>
  </si>
  <si>
    <t>Q.1 - Total Salary &amp; HeadCount by Department  ( What we Learnt - COUNTIFS,SUMIFS,AVERAGEIFS)</t>
  </si>
  <si>
    <t>Q2. All employees with more than $100k salary (FILTER)</t>
  </si>
  <si>
    <t>Q3. Lowest , Highest , Top 5 Salary (MIN ,MAX , LARGE</t>
  </si>
  <si>
    <t xml:space="preserve">Highest Salary </t>
  </si>
  <si>
    <t>Lowest Salary</t>
  </si>
  <si>
    <t>Top 5 Salary</t>
  </si>
  <si>
    <t>All Employess</t>
  </si>
  <si>
    <t>Column1</t>
  </si>
  <si>
    <t>Q4 . Display All Department Using UNIQUE</t>
  </si>
  <si>
    <t>Departments</t>
  </si>
  <si>
    <t>Count</t>
  </si>
  <si>
    <t xml:space="preserve">Q5 . Find Employee Details Using VLOOK UP , INDEX+MATHC ,XLOOP </t>
  </si>
  <si>
    <t>Employee Id</t>
  </si>
  <si>
    <t>Using VLOOK-UP</t>
  </si>
  <si>
    <t>Using INDEX+MATCH</t>
  </si>
  <si>
    <t>Using XLOOK-UP</t>
  </si>
  <si>
    <t xml:space="preserve">HW . Find All Employees with salary 120000 </t>
  </si>
  <si>
    <t>Q.8 Highest Salary Person</t>
  </si>
  <si>
    <t>One Person</t>
  </si>
  <si>
    <t>All Person</t>
  </si>
  <si>
    <t xml:space="preserve">Q.9 Find the employee who joined in march </t>
  </si>
  <si>
    <t>Employee ID</t>
  </si>
  <si>
    <t>HW. All The Females employees who started on Monday</t>
  </si>
  <si>
    <t>Q10 . Department report of headcount , salaries ,and % diff from overall average ,Highest Salary</t>
  </si>
  <si>
    <t>HeadCount</t>
  </si>
  <si>
    <t>Avg Salry</t>
  </si>
  <si>
    <t>%Diff from overall Salary</t>
  </si>
  <si>
    <t>Highest Salary</t>
  </si>
  <si>
    <t xml:space="preserve">All Department </t>
  </si>
  <si>
    <t>Median Salary</t>
  </si>
  <si>
    <t>Female Ratio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</si>
</sst>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 &quot;₹&quot;\ * #,##0.00_ ;_ &quot;₹&quot;\ * \-#,##0.00_ ;_ &quot;₹&quot;\ * &quot;-&quot;??_ ;_ @_ "/>
    <numFmt numFmtId="164" formatCode="_-[$$-409]* #,##0.00_ ;_-[$$-409]* \-#,##0.00\ ;_-[$$-409]* &quot;-&quot;??_ ;_-@_ "/>
    <numFmt numFmtId="165" formatCode="_ [$₹-4009]\ * #,##0.00_ ;_ [$₹-4009]\ * \-#,##0.00_ ;_ [$₹-4009]\ * &quot;-&quot;??_ ;_ @_ "/>
    <numFmt numFmtId="166" formatCode="[$₹-4009]\ #,##0.00;[$₹-4009]\ \-#,##0.00"/>
    <numFmt numFmtId="167" formatCode="&quot;₹&quot;\ #,##0"/>
    <numFmt numFmtId="170" formatCode="&quot;₹&quot;\ #,##0.00"/>
    <numFmt numFmtId="171" formatCode="[$₹-4009]\ #,##0.00;[Red][$₹-4009]\ \-#,##0.00"/>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8"/>
      <name val="Aptos Narrow"/>
      <family val="2"/>
      <scheme val="minor"/>
    </font>
    <font>
      <b/>
      <sz val="11"/>
      <color theme="1"/>
      <name val="Aptos Narrow"/>
      <family val="2"/>
      <scheme val="minor"/>
    </font>
    <font>
      <b/>
      <sz val="12"/>
      <name val="Aptos Narrow"/>
      <family val="2"/>
      <scheme val="minor"/>
    </font>
    <font>
      <b/>
      <sz val="11"/>
      <name val="Aptos Narrow"/>
      <family val="2"/>
      <scheme val="minor"/>
    </font>
  </fonts>
  <fills count="8">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0" tint="-0.14999847407452621"/>
        <bgColor theme="0" tint="-0.14999847407452621"/>
      </patternFill>
    </fill>
    <fill>
      <patternFill patternType="solid">
        <fgColor theme="0" tint="-0.34998626667073579"/>
        <bgColor theme="0" tint="-0.34998626667073579"/>
      </patternFill>
    </fill>
    <fill>
      <patternFill patternType="solid">
        <fgColor rgb="FFFF0000"/>
        <bgColor indexed="64"/>
      </patternFill>
    </fill>
    <fill>
      <patternFill patternType="solid">
        <fgColor theme="5" tint="0.39997558519241921"/>
        <bgColor indexed="64"/>
      </patternFill>
    </fill>
  </fills>
  <borders count="8">
    <border>
      <left/>
      <right/>
      <top/>
      <bottom/>
      <diagonal/>
    </border>
    <border>
      <left style="thin">
        <color theme="0"/>
      </left>
      <right style="thin">
        <color theme="0"/>
      </right>
      <top style="thick">
        <color theme="0"/>
      </top>
      <bottom/>
      <diagonal/>
    </border>
    <border>
      <left style="thin">
        <color theme="0"/>
      </left>
      <right/>
      <top style="thick">
        <color theme="0"/>
      </top>
      <bottom/>
      <diagonal/>
    </border>
    <border>
      <left/>
      <right style="thin">
        <color theme="0"/>
      </right>
      <top style="thick">
        <color theme="0"/>
      </top>
      <bottom/>
      <diagonal/>
    </border>
    <border>
      <left style="thin">
        <color indexed="64"/>
      </left>
      <right style="thin">
        <color indexed="64"/>
      </right>
      <top style="thin">
        <color indexed="64"/>
      </top>
      <bottom style="thin">
        <color indexed="64"/>
      </bottom>
      <diagonal/>
    </border>
    <border>
      <left style="thin">
        <color theme="0"/>
      </left>
      <right style="thin">
        <color theme="0"/>
      </right>
      <top style="thin">
        <color theme="0"/>
      </top>
      <bottom style="thin">
        <color theme="0"/>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s>
  <cellStyleXfs count="2">
    <xf numFmtId="0" fontId="0" fillId="0" borderId="0"/>
    <xf numFmtId="44" fontId="1" fillId="0" borderId="0" applyFont="0" applyFill="0" applyBorder="0" applyAlignment="0" applyProtection="0"/>
  </cellStyleXfs>
  <cellXfs count="44">
    <xf numFmtId="0" fontId="0" fillId="0" borderId="0" xfId="0"/>
    <xf numFmtId="14" fontId="0" fillId="0" borderId="0" xfId="0" applyNumberFormat="1"/>
    <xf numFmtId="0" fontId="0" fillId="0" borderId="0" xfId="1" applyNumberFormat="1" applyFont="1"/>
    <xf numFmtId="0" fontId="2" fillId="2" borderId="1" xfId="0" applyFont="1" applyFill="1" applyBorder="1"/>
    <xf numFmtId="0" fontId="2" fillId="2" borderId="2" xfId="0" applyFont="1" applyFill="1" applyBorder="1"/>
    <xf numFmtId="0" fontId="2" fillId="2" borderId="3" xfId="0" applyFont="1" applyFill="1" applyBorder="1"/>
    <xf numFmtId="164" fontId="0" fillId="0" borderId="0" xfId="0" applyNumberFormat="1"/>
    <xf numFmtId="164" fontId="2" fillId="2" borderId="1" xfId="0" applyNumberFormat="1" applyFont="1" applyFill="1" applyBorder="1"/>
    <xf numFmtId="0" fontId="0" fillId="3" borderId="4" xfId="0" applyFill="1" applyBorder="1"/>
    <xf numFmtId="0" fontId="0" fillId="0" borderId="4" xfId="0" applyBorder="1"/>
    <xf numFmtId="0" fontId="0" fillId="0" borderId="4" xfId="0" applyBorder="1" applyAlignment="1"/>
    <xf numFmtId="165" fontId="0" fillId="0" borderId="4" xfId="0" applyNumberFormat="1" applyBorder="1"/>
    <xf numFmtId="166" fontId="0" fillId="0" borderId="4" xfId="0" applyNumberFormat="1" applyBorder="1"/>
    <xf numFmtId="0" fontId="0" fillId="0" borderId="4" xfId="0" applyNumberFormat="1" applyBorder="1"/>
    <xf numFmtId="2" fontId="0" fillId="0" borderId="4" xfId="0" applyNumberFormat="1" applyBorder="1"/>
    <xf numFmtId="2" fontId="0" fillId="3" borderId="4" xfId="0" applyNumberFormat="1" applyFill="1" applyBorder="1"/>
    <xf numFmtId="0" fontId="0" fillId="4" borderId="5" xfId="0" applyFont="1" applyFill="1" applyBorder="1"/>
    <xf numFmtId="0" fontId="0" fillId="5" borderId="5" xfId="0" applyFont="1" applyFill="1" applyBorder="1"/>
    <xf numFmtId="0" fontId="0" fillId="3" borderId="0" xfId="0" applyFill="1"/>
    <xf numFmtId="0" fontId="4" fillId="3" borderId="0" xfId="0" applyFont="1" applyFill="1"/>
    <xf numFmtId="0" fontId="5" fillId="3" borderId="6" xfId="0" applyFont="1" applyFill="1" applyBorder="1"/>
    <xf numFmtId="167" fontId="0" fillId="0" borderId="0" xfId="0" applyNumberFormat="1"/>
    <xf numFmtId="0" fontId="0" fillId="0" borderId="0" xfId="0" applyAlignment="1">
      <alignment horizontal="center"/>
    </xf>
    <xf numFmtId="0" fontId="0" fillId="0" borderId="0" xfId="0" applyAlignment="1">
      <alignment horizontal="center"/>
    </xf>
    <xf numFmtId="0" fontId="4" fillId="3" borderId="4" xfId="0" applyFont="1" applyFill="1" applyBorder="1"/>
    <xf numFmtId="0" fontId="0" fillId="0" borderId="4" xfId="1" applyNumberFormat="1" applyFont="1" applyBorder="1"/>
    <xf numFmtId="0" fontId="0" fillId="3" borderId="7" xfId="0" applyFill="1" applyBorder="1"/>
    <xf numFmtId="0" fontId="0" fillId="0" borderId="0" xfId="1" applyNumberFormat="1" applyFont="1" applyBorder="1"/>
    <xf numFmtId="0" fontId="0" fillId="6" borderId="0" xfId="0" applyFill="1" applyAlignment="1">
      <alignment horizontal="center"/>
    </xf>
    <xf numFmtId="0" fontId="4" fillId="6" borderId="0" xfId="0" applyFont="1" applyFill="1"/>
    <xf numFmtId="0" fontId="6" fillId="6" borderId="0" xfId="0" applyFont="1" applyFill="1" applyAlignment="1">
      <alignment horizontal="center"/>
    </xf>
    <xf numFmtId="170" fontId="0" fillId="0" borderId="0" xfId="0" applyNumberFormat="1"/>
    <xf numFmtId="170" fontId="0" fillId="0" borderId="0" xfId="0" applyNumberFormat="1" applyFont="1"/>
    <xf numFmtId="171" fontId="0" fillId="0" borderId="0" xfId="1" applyNumberFormat="1" applyFont="1"/>
    <xf numFmtId="165" fontId="0" fillId="0" borderId="0" xfId="0" applyNumberFormat="1" applyBorder="1"/>
    <xf numFmtId="0" fontId="4" fillId="3" borderId="0" xfId="0" applyFont="1" applyFill="1" applyBorder="1"/>
    <xf numFmtId="0" fontId="6" fillId="6" borderId="0" xfId="0" applyFont="1" applyFill="1" applyAlignment="1">
      <alignment horizontal="center"/>
    </xf>
    <xf numFmtId="170" fontId="0" fillId="0" borderId="0" xfId="1" applyNumberFormat="1" applyFont="1"/>
    <xf numFmtId="0" fontId="4" fillId="3" borderId="4" xfId="0" applyFont="1" applyFill="1" applyBorder="1" applyAlignment="1">
      <alignment horizontal="center" wrapText="1"/>
    </xf>
    <xf numFmtId="0" fontId="4" fillId="7" borderId="0" xfId="0" applyFont="1" applyFill="1"/>
    <xf numFmtId="170" fontId="4" fillId="7" borderId="0" xfId="0" applyNumberFormat="1" applyFont="1" applyFill="1"/>
    <xf numFmtId="0" fontId="4" fillId="3" borderId="4" xfId="0" applyFont="1" applyFill="1" applyBorder="1" applyAlignment="1">
      <alignment horizontal="center" wrapText="1"/>
    </xf>
    <xf numFmtId="0" fontId="4" fillId="3" borderId="4" xfId="0" applyFont="1" applyFill="1" applyBorder="1" applyAlignment="1">
      <alignment horizontal="center"/>
    </xf>
    <xf numFmtId="2" fontId="0" fillId="0" borderId="0" xfId="0" applyNumberFormat="1"/>
  </cellXfs>
  <cellStyles count="2">
    <cellStyle name="Currency" xfId="1" builtinId="4"/>
    <cellStyle name="Normal" xfId="0" builtinId="0"/>
  </cellStyles>
  <dxfs count="27">
    <dxf>
      <numFmt numFmtId="167" formatCode="&quot;₹&quot;\ #,##0"/>
    </dxf>
    <dxf>
      <numFmt numFmtId="164" formatCode="_-[$$-409]* #,##0.00_ ;_-[$$-409]* \-#,##0.00\ ;_-[$$-409]* &quot;-&quot;??_ ;_-@_ "/>
    </dxf>
    <dxf>
      <numFmt numFmtId="164" formatCode="_-[$$-409]* #,##0.00_ ;_-[$$-409]* \-#,##0.00\ ;_-[$$-409]* &quot;-&quot;??_ ;_-@_ "/>
    </dxf>
    <dxf>
      <numFmt numFmtId="19" formatCode="dd/mm/yyyy"/>
    </dxf>
    <dxf>
      <numFmt numFmtId="0" formatCode="General"/>
    </dxf>
    <dxf>
      <numFmt numFmtId="167" formatCode="&quot;₹&quot;\ #,##0"/>
    </dxf>
    <dxf>
      <numFmt numFmtId="167" formatCode="&quot;₹&quot;\ #,##0"/>
    </dxf>
    <dxf>
      <font>
        <b/>
        <i val="0"/>
        <strike val="0"/>
        <condense val="0"/>
        <extend val="0"/>
        <outline val="0"/>
        <shadow val="0"/>
        <u val="none"/>
        <vertAlign val="baseline"/>
        <sz val="12"/>
        <color auto="1"/>
        <name val="Aptos Narrow"/>
        <family val="2"/>
        <scheme val="minor"/>
      </font>
      <fill>
        <patternFill patternType="solid">
          <fgColor indexed="64"/>
          <bgColor rgb="FFFFFF00"/>
        </patternFill>
      </fill>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Aptos Narrow"/>
        <family val="2"/>
        <scheme val="minor"/>
      </font>
      <fill>
        <patternFill patternType="solid">
          <fgColor theme="0" tint="-0.14999847407452621"/>
          <bgColor theme="0" tint="-0.14999847407452621"/>
        </patternFill>
      </fill>
      <border diagonalUp="0" diagonalDown="0">
        <left style="thin">
          <color theme="0"/>
        </left>
        <right style="thin">
          <color theme="0"/>
        </right>
        <top style="thin">
          <color theme="0"/>
        </top>
        <bottom style="thin">
          <color theme="0"/>
        </bottom>
        <vertical/>
        <horizontal/>
      </border>
    </dxf>
    <dxf>
      <border outline="0">
        <bottom style="thin">
          <color indexed="64"/>
        </bottom>
      </border>
    </dxf>
    <dxf>
      <border outline="0">
        <top style="thin">
          <color indexed="64"/>
        </top>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0" formatCode="General"/>
      <border diagonalUp="0" diagonalDown="0">
        <left style="thin">
          <color indexed="64"/>
        </left>
        <right style="thin">
          <color indexed="64"/>
        </right>
        <top style="thin">
          <color indexed="64"/>
        </top>
        <bottom style="thin">
          <color indexed="64"/>
        </bottom>
      </border>
    </dxf>
    <dxf>
      <numFmt numFmtId="2" formatCode="0.00"/>
      <border diagonalUp="0" diagonalDown="0" outline="0">
        <left/>
        <right style="thin">
          <color indexed="64"/>
        </right>
        <top style="thin">
          <color indexed="64"/>
        </top>
        <bottom style="thin">
          <color indexed="64"/>
        </bottom>
      </border>
    </dxf>
    <dxf>
      <numFmt numFmtId="165" formatCode="_ [$₹-4009]\ * #,##0.00_ ;_ [$₹-4009]\ * \-#,##0.00_ ;_ [$₹-4009]\ * &quot;-&quot;??_ ;_ @_ "/>
    </dxf>
    <dxf>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166" formatCode="[$₹-4009]\ #,##0.00;[$₹-4009]\ \-#,##0.00"/>
      <border diagonalUp="0" diagonalDown="0">
        <left style="thin">
          <color indexed="64"/>
        </left>
        <right style="thin">
          <color indexed="64"/>
        </right>
        <top style="thin">
          <color indexed="64"/>
        </top>
        <bottom style="thin">
          <color indexed="64"/>
        </bottom>
      </border>
    </dxf>
    <dxf>
      <numFmt numFmtId="165" formatCode="_ [$₹-4009]\ * #,##0.00_ ;_ [$₹-4009]\ * \-#,##0.00_ ;_ [$₹-4009]\ * &quot;-&quot;??_ ;_ @_ "/>
      <border diagonalUp="0" diagonalDown="0" outline="0">
        <left/>
        <right style="thin">
          <color indexed="64"/>
        </right>
        <top style="thin">
          <color indexed="64"/>
        </top>
        <bottom style="thin">
          <color indexed="64"/>
        </bottom>
      </border>
    </dxf>
    <dxf>
      <numFmt numFmtId="165" formatCode="_ [$₹-4009]\ * #,##0.00_ ;_ [$₹-4009]\ * \-#,##0.00_ ;_ [$₹-4009]\ * &quot;-&quot;??_ ;_ @_ "/>
    </dxf>
    <dxf>
      <alignment horizontal="general"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microsoft.com/office/2007/relationships/slicerCache" Target="slicerCaches/slicerCach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alcChain" Target="calcChain.xml"/><Relationship Id="rId5" Type="http://schemas.openxmlformats.org/officeDocument/2006/relationships/styles" Target="styles.xml"/><Relationship Id="rId10" Type="http://schemas.microsoft.com/office/2017/06/relationships/rdRichValueTypes" Target="richData/rdRichValueTypes.xml"/><Relationship Id="rId4" Type="http://schemas.openxmlformats.org/officeDocument/2006/relationships/theme" Target="theme/theme1.xml"/><Relationship Id="rId9" Type="http://schemas.microsoft.com/office/2017/06/relationships/rdRichValueStructure" Target="richData/rdrichvaluestructur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data id="2">
      <cx:numDim type="val">
        <cx:f>_xlchart.v1.5</cx:f>
      </cx:numDim>
    </cx:data>
    <cx:data id="3">
      <cx:numDim type="val">
        <cx:f>_xlchart.v1.7</cx:f>
      </cx:numDim>
    </cx:data>
    <cx:data id="4">
      <cx:numDim type="val">
        <cx:f>_xlchart.v1.9</cx:f>
      </cx:numDim>
    </cx:data>
    <cx:data id="5">
      <cx:numDim type="val">
        <cx:f>_xlchart.v1.11</cx:f>
      </cx:numDim>
    </cx:data>
    <cx:data id="6">
      <cx:numDim type="val">
        <cx:f>_xlchart.v1.13</cx:f>
      </cx:numDim>
    </cx:data>
    <cx:data id="7">
      <cx:numDim type="val">
        <cx:f>_xlchart.v1.15</cx:f>
      </cx:numDim>
    </cx:data>
    <cx:data id="8">
      <cx:numDim type="val">
        <cx:f>_xlchart.v1.17</cx:f>
      </cx:numDim>
    </cx:data>
    <cx:data id="9">
      <cx:numDim type="val">
        <cx:f>_xlchart.v1.19</cx:f>
      </cx:numDim>
    </cx:data>
    <cx:data id="10">
      <cx:numDim type="val">
        <cx:f>_xlchart.v1.21</cx:f>
      </cx:numDim>
    </cx:data>
    <cx:data id="11">
      <cx:numDim type="val">
        <cx:f>_xlchart.v1.23</cx:f>
      </cx:numDim>
    </cx:data>
    <cx:data id="12">
      <cx:numDim type="val">
        <cx:f>_xlchart.v1.25</cx:f>
      </cx:numDim>
    </cx:data>
    <cx:data id="13">
      <cx:numDim type="val">
        <cx:f>_xlchart.v1.27</cx:f>
      </cx:numDim>
    </cx:data>
    <cx:data id="14">
      <cx:numDim type="val">
        <cx:f>_xlchart.v1.29</cx:f>
      </cx:numDim>
    </cx:data>
  </cx:chartData>
  <cx:chart>
    <cx:title pos="t" align="ctr" overlay="0"/>
    <cx:plotArea>
      <cx:plotAreaRegion>
        <cx:series layoutId="boxWhisker" uniqueId="{54F18FEE-6FD2-4722-9CF0-13E6ECAAD0E2}">
          <cx:tx>
            <cx:txData>
              <cx:f>_xlchart.v1.0</cx:f>
              <cx:v>Emp ID</cx:v>
            </cx:txData>
          </cx:tx>
          <cx:dataId val="0"/>
          <cx:layoutPr>
            <cx:visibility meanLine="0" meanMarker="1" nonoutliers="0" outliers="1"/>
            <cx:statistics quartileMethod="exclusive"/>
          </cx:layoutPr>
        </cx:series>
        <cx:series layoutId="boxWhisker" uniqueId="{6DC3D8A9-5E5F-4906-9CDF-C22E35734D80}">
          <cx:tx>
            <cx:txData>
              <cx:f>_xlchart.v1.2</cx:f>
              <cx:v>First Name</cx:v>
            </cx:txData>
          </cx:tx>
          <cx:dataId val="1"/>
          <cx:layoutPr>
            <cx:visibility meanLine="0" meanMarker="1" nonoutliers="0" outliers="1"/>
            <cx:statistics quartileMethod="exclusive"/>
          </cx:layoutPr>
        </cx:series>
        <cx:series layoutId="boxWhisker" uniqueId="{218636B5-2209-40E2-A69D-C9C1C366DCD6}">
          <cx:tx>
            <cx:txData>
              <cx:f>_xlchart.v1.4</cx:f>
              <cx:v>Last Name</cx:v>
            </cx:txData>
          </cx:tx>
          <cx:dataId val="2"/>
          <cx:layoutPr>
            <cx:visibility meanLine="0" meanMarker="1" nonoutliers="0" outliers="1"/>
            <cx:statistics quartileMethod="exclusive"/>
          </cx:layoutPr>
        </cx:series>
        <cx:series layoutId="boxWhisker" uniqueId="{4C1A938A-E2E9-4087-B5A8-26AE57BFAC49}">
          <cx:tx>
            <cx:txData>
              <cx:f>_xlchart.v1.6</cx:f>
              <cx:v>Gender</cx:v>
            </cx:txData>
          </cx:tx>
          <cx:dataId val="3"/>
          <cx:layoutPr>
            <cx:visibility meanLine="0" meanMarker="1" nonoutliers="0" outliers="1"/>
            <cx:statistics quartileMethod="exclusive"/>
          </cx:layoutPr>
        </cx:series>
        <cx:series layoutId="boxWhisker" uniqueId="{D6B105D3-E589-4855-BF4F-4DABB4E58CC5}">
          <cx:tx>
            <cx:txData>
              <cx:f>_xlchart.v1.8</cx:f>
              <cx:v>Department</cx:v>
            </cx:txData>
          </cx:tx>
          <cx:dataId val="4"/>
          <cx:layoutPr>
            <cx:visibility meanLine="0" meanMarker="1" nonoutliers="0" outliers="1"/>
            <cx:statistics quartileMethod="exclusive"/>
          </cx:layoutPr>
        </cx:series>
        <cx:series layoutId="boxWhisker" uniqueId="{4EB0EF19-FDC8-458D-8FFC-D20D7FCAB5F7}">
          <cx:tx>
            <cx:txData>
              <cx:f>_xlchart.v1.10</cx:f>
              <cx:v>Salary</cx:v>
            </cx:txData>
          </cx:tx>
          <cx:dataId val="5"/>
          <cx:layoutPr>
            <cx:visibility meanLine="0" meanMarker="1" nonoutliers="0" outliers="1"/>
            <cx:statistics quartileMethod="exclusive"/>
          </cx:layoutPr>
        </cx:series>
        <cx:series layoutId="boxWhisker" uniqueId="{FCBB593D-A8A6-47C3-8950-4B8E435887B8}">
          <cx:tx>
            <cx:txData>
              <cx:f>_xlchart.v1.12</cx:f>
              <cx:v>Salary Bucket</cx:v>
            </cx:txData>
          </cx:tx>
          <cx:dataId val="6"/>
          <cx:layoutPr>
            <cx:visibility meanLine="0" meanMarker="1" nonoutliers="0" outliers="1"/>
            <cx:statistics quartileMethod="exclusive"/>
          </cx:layoutPr>
        </cx:series>
        <cx:series layoutId="boxWhisker" uniqueId="{37F70DC6-1943-41DF-8B9E-45220DF9433B}">
          <cx:tx>
            <cx:txData>
              <cx:f>_xlchart.v1.14</cx:f>
              <cx:v>Start Date</cx:v>
            </cx:txData>
          </cx:tx>
          <cx:dataId val="7"/>
          <cx:layoutPr>
            <cx:visibility meanLine="0" meanMarker="1" nonoutliers="0" outliers="1"/>
            <cx:statistics quartileMethod="exclusive"/>
          </cx:layoutPr>
        </cx:series>
        <cx:series layoutId="boxWhisker" uniqueId="{00C1AAA9-B5B8-4CF8-B2A8-928FE3EF3E00}">
          <cx:tx>
            <cx:txData>
              <cx:f>_xlchart.v1.16</cx:f>
              <cx:v>FTE</cx:v>
            </cx:txData>
          </cx:tx>
          <cx:dataId val="8"/>
          <cx:layoutPr>
            <cx:visibility meanLine="0" meanMarker="1" nonoutliers="0" outliers="1"/>
            <cx:statistics quartileMethod="exclusive"/>
          </cx:layoutPr>
        </cx:series>
        <cx:series layoutId="boxWhisker" uniqueId="{F3CC9536-13E4-463A-AE68-A8A8EC1CF6D8}">
          <cx:tx>
            <cx:txData>
              <cx:f>_xlchart.v1.18</cx:f>
              <cx:v>Employee type</cx:v>
            </cx:txData>
          </cx:tx>
          <cx:dataId val="9"/>
          <cx:layoutPr>
            <cx:visibility meanLine="0" meanMarker="1" nonoutliers="0" outliers="1"/>
            <cx:statistics quartileMethod="exclusive"/>
          </cx:layoutPr>
        </cx:series>
        <cx:series layoutId="boxWhisker" uniqueId="{54789F6E-B787-4511-B402-5A60A99F5068}">
          <cx:tx>
            <cx:txData>
              <cx:f>_xlchart.v1.20</cx:f>
              <cx:v>Work location</cx:v>
            </cx:txData>
          </cx:tx>
          <cx:dataId val="10"/>
          <cx:layoutPr>
            <cx:visibility meanLine="0" meanMarker="1" nonoutliers="0" outliers="1"/>
            <cx:statistics quartileMethod="exclusive"/>
          </cx:layoutPr>
        </cx:series>
        <cx:series layoutId="boxWhisker" uniqueId="{546FD87B-861C-477A-86D0-D27D41530B7C}">
          <cx:tx>
            <cx:txData>
              <cx:f>_xlchart.v1.22</cx:f>
              <cx:v>Tenure</cx:v>
            </cx:txData>
          </cx:tx>
          <cx:dataId val="11"/>
          <cx:layoutPr>
            <cx:visibility meanLine="0" meanMarker="1" nonoutliers="0" outliers="1"/>
            <cx:statistics quartileMethod="exclusive"/>
          </cx:layoutPr>
        </cx:series>
        <cx:series layoutId="boxWhisker" uniqueId="{7ADFF9E9-B61A-4777-A2AF-BAA929DD75CE}">
          <cx:tx>
            <cx:txData>
              <cx:f>_xlchart.v1.24</cx:f>
              <cx:v>Work Type</cx:v>
            </cx:txData>
          </cx:tx>
          <cx:dataId val="12"/>
          <cx:layoutPr>
            <cx:visibility meanLine="0" meanMarker="1" nonoutliers="0" outliers="1"/>
            <cx:statistics quartileMethod="exclusive"/>
          </cx:layoutPr>
        </cx:series>
        <cx:series layoutId="boxWhisker" uniqueId="{57D0DD81-B43B-4CD8-BBAB-897AA70B86E1}">
          <cx:tx>
            <cx:txData>
              <cx:f>_xlchart.v1.26</cx:f>
              <cx:v>Bonus</cx:v>
            </cx:txData>
          </cx:tx>
          <cx:dataId val="13"/>
          <cx:layoutPr>
            <cx:visibility meanLine="0" meanMarker="1" nonoutliers="0" outliers="1"/>
            <cx:statistics quartileMethod="exclusive"/>
          </cx:layoutPr>
        </cx:series>
        <cx:series layoutId="boxWhisker" uniqueId="{51709C39-A315-4EC4-AA61-A933A88A5610}">
          <cx:tx>
            <cx:txData>
              <cx:f>_xlchart.v1.28</cx:f>
              <cx:v>Bonus2</cx:v>
            </cx:txData>
          </cx:tx>
          <cx:dataId val="14"/>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_xlchart.v1.30</cx:f>
      </cx:strDim>
      <cx:numDim type="val">
        <cx:f>_xlchart.v1.31</cx:f>
      </cx:numDim>
    </cx:data>
  </cx:chartData>
  <cx:chart>
    <cx:title pos="t" align="ctr" overlay="0"/>
    <cx:plotArea>
      <cx:plotAreaRegion>
        <cx:series layoutId="boxWhisker" uniqueId="{AFABD35D-37F2-4BB4-9801-217B286B4150}">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editAs="absolute">
    <xdr:from>
      <xdr:col>16</xdr:col>
      <xdr:colOff>628650</xdr:colOff>
      <xdr:row>1</xdr:row>
      <xdr:rowOff>38100</xdr:rowOff>
    </xdr:from>
    <xdr:to>
      <xdr:col>19</xdr:col>
      <xdr:colOff>381000</xdr:colOff>
      <xdr:row>19</xdr:row>
      <xdr:rowOff>114300</xdr:rowOff>
    </xdr:to>
    <mc:AlternateContent xmlns:mc="http://schemas.openxmlformats.org/markup-compatibility/2006" xmlns:sle15="http://schemas.microsoft.com/office/drawing/2012/slicer">
      <mc:Choice Requires="sle15">
        <xdr:graphicFrame macro="">
          <xdr:nvGraphicFramePr>
            <xdr:cNvPr id="2" name="Department">
              <a:extLst>
                <a:ext uri="{FF2B5EF4-FFF2-40B4-BE49-F238E27FC236}">
                  <a16:creationId xmlns:a16="http://schemas.microsoft.com/office/drawing/2014/main" id="{C0E628B8-C300-14AD-ED55-018902F7D6FA}"/>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4344650" y="238125"/>
              <a:ext cx="1828800" cy="35052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17</xdr:col>
      <xdr:colOff>457200</xdr:colOff>
      <xdr:row>204</xdr:row>
      <xdr:rowOff>66675</xdr:rowOff>
    </xdr:from>
    <xdr:to>
      <xdr:col>25</xdr:col>
      <xdr:colOff>152400</xdr:colOff>
      <xdr:row>266</xdr:row>
      <xdr:rowOff>66675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3B455CB3-2ADF-062C-55C5-556DCE12E1A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5030450" y="4010025"/>
              <a:ext cx="4572000" cy="12096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104775</xdr:colOff>
      <xdr:row>11</xdr:row>
      <xdr:rowOff>109537</xdr:rowOff>
    </xdr:from>
    <xdr:to>
      <xdr:col>27</xdr:col>
      <xdr:colOff>409575</xdr:colOff>
      <xdr:row>151</xdr:row>
      <xdr:rowOff>185737</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5456FC3-5890-5BC6-5FF2-9C7C7DFF873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6506825" y="581025"/>
              <a:ext cx="4572000" cy="28575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4</v>
    <v>8</v>
    <v>4</v>
    <v>5</v>
  </rv>
</rvData>
</file>

<file path=xl/richData/rdrichvaluestructure.xml><?xml version="1.0" encoding="utf-8"?>
<rvStructures xmlns="http://schemas.microsoft.com/office/spreadsheetml/2017/richdata" count="1">
  <s t="_error">
    <k n="colOffset" t="i"/>
    <k n="errorType" t="i"/>
    <k n="rwOffset"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3544CA3B-287C-4B22-83A7-B86D4D802229}" sourceName="Department">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7D96721B-4CFD-4B5F-9789-ED579170786C}" cache="Slicer_Department" caption="Departme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BFB23E7-4BFD-4A95-8ACA-58A6118E4821}" name="staff1" displayName="staff1" ref="B3:P264" totalsRowCount="1">
  <autoFilter ref="B3:P263" xr:uid="{0BFB23E7-4BFD-4A95-8ACA-58A6118E4821}"/>
  <tableColumns count="15">
    <tableColumn id="1" xr3:uid="{AC6E84AE-467A-403C-AD6F-41D81016F774}" name="Emp ID"/>
    <tableColumn id="2" xr3:uid="{E47FD44B-8044-452A-BC94-4E99CDD64A11}" name="First Name"/>
    <tableColumn id="3" xr3:uid="{6B011335-444E-4241-ADAB-8D13731BDB23}" name="Last Name"/>
    <tableColumn id="4" xr3:uid="{AE8186A5-A034-4B9D-9AD6-804E8B23835E}" name="Gender"/>
    <tableColumn id="5" xr3:uid="{2CD95A43-FDBE-4599-A932-49551B8827A1}" name="Department"/>
    <tableColumn id="6" xr3:uid="{7FE2F74E-92E2-4D96-AF29-3560FF0B280E}" name="Salary"/>
    <tableColumn id="7" xr3:uid="{B3D5217E-2422-4251-B8F2-8A6961E5CD3C}" name="Salary Bucket"/>
    <tableColumn id="8" xr3:uid="{F117B33B-C0FC-4980-8117-B407AE551B3C}" name="Start Date" dataDxfId="3"/>
    <tableColumn id="9" xr3:uid="{C013CCAE-1C56-4374-B753-8EA33FDDCA51}" name="FTE"/>
    <tableColumn id="10" xr3:uid="{BA1C7426-C0FB-4C24-85AD-5F692BCAAEE9}" name="Employee type"/>
    <tableColumn id="11" xr3:uid="{E44D2B93-41F3-4687-8A84-5DBBFF0E8CF4}" name="Work location"/>
    <tableColumn id="12" xr3:uid="{E9B49CD7-2526-408A-A7F3-EDAE07D19490}" name="Tenure"/>
    <tableColumn id="13" xr3:uid="{FE4CB31D-591A-4601-94E5-74DE078A837B}" name="Work Type"/>
    <tableColumn id="14" xr3:uid="{2032BEA1-952F-4BD2-9DFE-35CDF9CB62A5}" name="Bonus" dataDxfId="2">
      <calculatedColumnFormula>staff1[[#This Row],[Salary]]*5%</calculatedColumnFormula>
    </tableColumn>
    <tableColumn id="15" xr3:uid="{038855DA-299B-4649-8700-D1C632932A5B}" name="Bonus2" dataDxfId="1">
      <calculatedColumnFormula>IF(staff1[[#This Row],[Tenure]]&lt;3,2%,IF(staff1[[#This Row],[Tenure]]&lt;5,5%,10%))*staff1[[#This Row],[Salary]]</calculatedColumnFormula>
    </tableColumn>
  </tableColumns>
  <tableStyleInfo name="TableStyleMedium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5E6861A-76DE-4E63-8C2B-90B372AA431C}" name="Table3" displayName="Table3" ref="E276:J281" totalsRowShown="0" headerRowDxfId="26" dataDxfId="25">
  <autoFilter ref="E276:J281" xr:uid="{35E6861A-76DE-4E63-8C2B-90B372AA431C}"/>
  <tableColumns count="6">
    <tableColumn id="1" xr3:uid="{E59F6ED6-B2ED-4514-8AF3-71D0A6F76E90}" name="Amount(In NZD)" dataDxfId="24"/>
    <tableColumn id="2" xr3:uid="{126B5271-C94D-4B4E-8EA9-EFAD5C2EA1D7}" name="USD" dataDxfId="23">
      <calculatedColumnFormula>$E277*F$275</calculatedColumnFormula>
    </tableColumn>
    <tableColumn id="3" xr3:uid="{C76A4CE4-8E7C-47D4-8055-E757FE828FB5}" name="INR" dataDxfId="22">
      <calculatedColumnFormula>$E277*G$275</calculatedColumnFormula>
    </tableColumn>
    <tableColumn id="4" xr3:uid="{5F15A34D-207F-4B1E-A11A-818DBCAA3C0D}" name="GBP" dataDxfId="21">
      <calculatedColumnFormula>$E277*H$275</calculatedColumnFormula>
    </tableColumn>
    <tableColumn id="5" xr3:uid="{CD02AF3B-A89C-4BFA-A655-A028301F2EFB}" name="EUR" dataDxfId="20">
      <calculatedColumnFormula>$E277*I$275</calculatedColumnFormula>
    </tableColumn>
    <tableColumn id="6" xr3:uid="{4D040222-FE39-423C-8F0B-299E103E7189}" name="AUD" dataDxfId="19">
      <calculatedColumnFormula>$E277*J$275</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C9CCE9F-8497-46FC-9B1B-6D7B3F458D9E}" name="Table36" displayName="Table36" ref="F286:K291" totalsRowShown="0" headerRowDxfId="18" dataDxfId="17">
  <autoFilter ref="F286:K291" xr:uid="{6C9CCE9F-8497-46FC-9B1B-6D7B3F458D9E}"/>
  <tableColumns count="6">
    <tableColumn id="1" xr3:uid="{D57725BD-B53B-4841-A55C-8BAE958BA893}" name="Amount(In NZD)" dataDxfId="16"/>
    <tableColumn id="2" xr3:uid="{965CC6B5-C2A0-4B25-A953-DC809AD5FB69}" name="USD" dataDxfId="15">
      <calculatedColumnFormula array="1">Table36[Amount(In NZD)]*G285:K285</calculatedColumnFormula>
    </tableColumn>
    <tableColumn id="3" xr3:uid="{908D977D-9D26-4DBB-864D-43B1E6137D6B}" name="INR" dataDxfId="14">
      <calculatedColumnFormula>$E287*H$275</calculatedColumnFormula>
    </tableColumn>
    <tableColumn id="4" xr3:uid="{211DCFB8-D426-4AE8-9705-907AFC4F64A3}" name="GBP" dataDxfId="13">
      <calculatedColumnFormula>$E287*I$275</calculatedColumnFormula>
    </tableColumn>
    <tableColumn id="5" xr3:uid="{9956C16E-FB19-4E21-8C8B-2EADE09F6D5E}" name="EUR" dataDxfId="12">
      <calculatedColumnFormula>$E287*J$275</calculatedColumnFormula>
    </tableColumn>
    <tableColumn id="6" xr3:uid="{71E768A2-BF2A-42EC-B91F-AED7A541857C}" name="AUD" dataDxfId="11">
      <calculatedColumnFormula>$E287*K$275</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50367B5-3AD1-451E-BF1A-15DEECD499D0}" name="Table1" displayName="Table1" ref="B2:G15" totalsRowShown="0" headerRowDxfId="7" headerRowBorderDxfId="9" tableBorderDxfId="10">
  <autoFilter ref="B2:G15" xr:uid="{250367B5-3AD1-451E-BF1A-15DEECD499D0}"/>
  <tableColumns count="6">
    <tableColumn id="1" xr3:uid="{DA4E33DF-BE60-4851-BEB8-161CDEB0D540}" name="Department" dataDxfId="8"/>
    <tableColumn id="2" xr3:uid="{A0C413A8-B2A3-4752-81D6-6D7DE4BCD51D}" name="Head Count">
      <calculatedColumnFormula>COUNTIFS(staff1[Department],B3)</calculatedColumnFormula>
    </tableColumn>
    <tableColumn id="3" xr3:uid="{1262E71E-687A-4973-B13F-B515B23805E3}" name="Total Salary " dataDxfId="6">
      <calculatedColumnFormula>SUMIFS(staff1[Salary],staff1[Department],Table1[[#This Row],[Department]])</calculatedColumnFormula>
    </tableColumn>
    <tableColumn id="4" xr3:uid="{6CD576D3-D9C7-49E7-B8E4-3CCB0105F706}" name="Average Salary" dataDxfId="5">
      <calculatedColumnFormula>AVERAGEIFS(staff1[Salary],staff1[Department],Table1[[#This Row],[Department]])</calculatedColumnFormula>
    </tableColumn>
    <tableColumn id="7" xr3:uid="{1779F783-65C6-4C37-97BD-CA7CAF6AB673}" name="Column1" dataDxfId="0"/>
    <tableColumn id="5" xr3:uid="{A64C0D28-2EA7-4DC2-AC87-E3E3DDB5C8C1}" name="Permanent Headcount" dataDxfId="4">
      <calculatedColumnFormula>COUNTIFS(staff1[Department], Table1[[#This Row],[Department]], staff1[Employee type], "Permanent")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microsoft.com/office/2007/relationships/slicer" Target="../slicers/slicer1.xml"/><Relationship Id="rId5" Type="http://schemas.openxmlformats.org/officeDocument/2006/relationships/table" Target="../tables/table3.xm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0E638-1B74-462F-8BD0-E82D7522836F}">
  <dimension ref="B1:Q291"/>
  <sheetViews>
    <sheetView topLeftCell="A15" zoomScaleNormal="100" workbookViewId="0">
      <selection activeCell="A9" sqref="A9"/>
    </sheetView>
  </sheetViews>
  <sheetFormatPr defaultRowHeight="15" x14ac:dyDescent="0.25"/>
  <cols>
    <col min="2" max="2" width="9.5703125" customWidth="1"/>
    <col min="3" max="3" width="12.85546875" customWidth="1"/>
    <col min="4" max="4" width="12.5703125" customWidth="1"/>
    <col min="5" max="5" width="16.7109375" customWidth="1"/>
    <col min="6" max="6" width="15.7109375" customWidth="1"/>
    <col min="7" max="7" width="15.7109375" bestFit="1" customWidth="1"/>
    <col min="8" max="8" width="15.140625" customWidth="1"/>
    <col min="9" max="9" width="12.140625" customWidth="1"/>
    <col min="10" max="10" width="11.42578125" bestFit="1" customWidth="1"/>
    <col min="11" max="11" width="16.5703125" customWidth="1"/>
    <col min="12" max="12" width="15.5703125" customWidth="1"/>
    <col min="13" max="13" width="9.42578125" customWidth="1"/>
    <col min="14" max="14" width="12.5703125" customWidth="1"/>
    <col min="15" max="16" width="10.28515625" bestFit="1" customWidth="1"/>
    <col min="17" max="17" width="12.85546875" bestFit="1" customWidth="1"/>
  </cols>
  <sheetData>
    <row r="1" spans="2:16" ht="15.75" thickTop="1" x14ac:dyDescent="0.25">
      <c r="B1" s="5" t="s">
        <v>739</v>
      </c>
      <c r="C1" s="3"/>
      <c r="D1" s="3"/>
      <c r="E1" s="3"/>
      <c r="F1" s="3"/>
      <c r="G1" s="7">
        <f>SUBTOTAL(109,staff1[Salary])</f>
        <v>19203944.560000002</v>
      </c>
      <c r="H1" s="3"/>
      <c r="I1" s="3"/>
      <c r="J1" s="3">
        <f>SUBTOTAL(109,staff1[FTE])</f>
        <v>233.00000000000006</v>
      </c>
      <c r="K1" s="3"/>
      <c r="L1" s="3"/>
      <c r="M1" s="3"/>
      <c r="N1" s="4">
        <f>SUBTOTAL(103,staff1[Work Type])</f>
        <v>260</v>
      </c>
    </row>
    <row r="3" spans="2:16" x14ac:dyDescent="0.25">
      <c r="B3" t="s">
        <v>0</v>
      </c>
      <c r="C3" t="s">
        <v>1</v>
      </c>
      <c r="D3" t="s">
        <v>2</v>
      </c>
      <c r="E3" t="s">
        <v>3</v>
      </c>
      <c r="F3" t="s">
        <v>4</v>
      </c>
      <c r="G3" t="s">
        <v>5</v>
      </c>
      <c r="H3" t="s">
        <v>6</v>
      </c>
      <c r="I3" s="1" t="s">
        <v>7</v>
      </c>
      <c r="J3" t="s">
        <v>8</v>
      </c>
      <c r="K3" t="s">
        <v>9</v>
      </c>
      <c r="L3" t="s">
        <v>10</v>
      </c>
      <c r="M3" t="s">
        <v>11</v>
      </c>
      <c r="N3" t="s">
        <v>12</v>
      </c>
      <c r="O3" t="s">
        <v>747</v>
      </c>
      <c r="P3" t="s">
        <v>748</v>
      </c>
    </row>
    <row r="4" spans="2:16" x14ac:dyDescent="0.25">
      <c r="B4" t="s">
        <v>13</v>
      </c>
      <c r="C4" t="s">
        <v>14</v>
      </c>
      <c r="D4" t="s">
        <v>15</v>
      </c>
      <c r="E4" t="s">
        <v>16</v>
      </c>
      <c r="F4" t="s">
        <v>17</v>
      </c>
      <c r="G4" s="6">
        <v>96135.75</v>
      </c>
      <c r="H4" t="s">
        <v>18</v>
      </c>
      <c r="I4" s="1">
        <v>44025</v>
      </c>
      <c r="J4">
        <v>0.3</v>
      </c>
      <c r="K4" t="s">
        <v>19</v>
      </c>
      <c r="L4" t="s">
        <v>20</v>
      </c>
      <c r="M4">
        <v>3.9424657534246577</v>
      </c>
      <c r="N4" t="s">
        <v>21</v>
      </c>
      <c r="O4" s="6">
        <f>staff1[[#This Row],[Salary]]*5%</f>
        <v>4806.7875000000004</v>
      </c>
      <c r="P4" s="6">
        <f>IF(staff1[[#This Row],[Tenure]]&lt;3,2%,IF(staff1[[#This Row],[Tenure]]&lt;5,5%,10%))*staff1[[#This Row],[Salary]]</f>
        <v>4806.7875000000004</v>
      </c>
    </row>
    <row r="5" spans="2:16" x14ac:dyDescent="0.25">
      <c r="B5" t="s">
        <v>22</v>
      </c>
      <c r="C5" t="s">
        <v>23</v>
      </c>
      <c r="D5" t="s">
        <v>24</v>
      </c>
      <c r="E5" t="s">
        <v>16</v>
      </c>
      <c r="F5" t="s">
        <v>25</v>
      </c>
      <c r="G5" s="6">
        <v>70649.460000000006</v>
      </c>
      <c r="H5" t="s">
        <v>18</v>
      </c>
      <c r="I5" s="1">
        <v>43843</v>
      </c>
      <c r="J5">
        <v>1</v>
      </c>
      <c r="K5" t="s">
        <v>19</v>
      </c>
      <c r="L5" t="s">
        <v>26</v>
      </c>
      <c r="M5">
        <v>4.441095890410959</v>
      </c>
      <c r="N5" t="s">
        <v>27</v>
      </c>
      <c r="O5" s="6">
        <f>staff1[[#This Row],[Salary]]*5%</f>
        <v>3532.4730000000004</v>
      </c>
      <c r="P5" s="6">
        <f>IF(staff1[[#This Row],[Tenure]]&lt;3,2%,IF(staff1[[#This Row],[Tenure]]&lt;5,5%,10%))*staff1[[#This Row],[Salary]]</f>
        <v>3532.4730000000004</v>
      </c>
    </row>
    <row r="6" spans="2:16" x14ac:dyDescent="0.25">
      <c r="B6" t="s">
        <v>28</v>
      </c>
      <c r="C6" t="s">
        <v>29</v>
      </c>
      <c r="D6" t="s">
        <v>30</v>
      </c>
      <c r="E6" t="s">
        <v>16</v>
      </c>
      <c r="F6" t="s">
        <v>25</v>
      </c>
      <c r="G6" s="6">
        <v>80695.740000000005</v>
      </c>
      <c r="H6" t="s">
        <v>18</v>
      </c>
      <c r="I6" s="1">
        <v>43360</v>
      </c>
      <c r="J6">
        <v>1</v>
      </c>
      <c r="K6" t="s">
        <v>19</v>
      </c>
      <c r="L6" t="s">
        <v>31</v>
      </c>
      <c r="M6">
        <v>5.7643835616438359</v>
      </c>
      <c r="N6" t="s">
        <v>27</v>
      </c>
      <c r="O6" s="6">
        <f>staff1[[#This Row],[Salary]]*5%</f>
        <v>4034.7870000000003</v>
      </c>
      <c r="P6" s="6">
        <f>IF(staff1[[#This Row],[Tenure]]&lt;3,2%,IF(staff1[[#This Row],[Tenure]]&lt;5,5%,10%))*staff1[[#This Row],[Salary]]</f>
        <v>8069.5740000000005</v>
      </c>
    </row>
    <row r="7" spans="2:16" x14ac:dyDescent="0.25">
      <c r="B7" t="s">
        <v>28</v>
      </c>
      <c r="C7" t="s">
        <v>29</v>
      </c>
      <c r="D7" t="s">
        <v>30</v>
      </c>
      <c r="E7" t="s">
        <v>16</v>
      </c>
      <c r="F7" t="s">
        <v>25</v>
      </c>
      <c r="G7" s="6">
        <v>80695.740000000005</v>
      </c>
      <c r="H7" t="s">
        <v>18</v>
      </c>
      <c r="I7" s="1">
        <v>43360</v>
      </c>
      <c r="J7">
        <v>1</v>
      </c>
      <c r="K7" t="s">
        <v>19</v>
      </c>
      <c r="L7" t="s">
        <v>31</v>
      </c>
      <c r="M7">
        <v>5.7643835616438359</v>
      </c>
      <c r="N7" t="s">
        <v>27</v>
      </c>
      <c r="O7" s="6">
        <f>staff1[[#This Row],[Salary]]*5%</f>
        <v>4034.7870000000003</v>
      </c>
      <c r="P7" s="6">
        <f>IF(staff1[[#This Row],[Tenure]]&lt;3,2%,IF(staff1[[#This Row],[Tenure]]&lt;5,5%,10%))*staff1[[#This Row],[Salary]]</f>
        <v>8069.5740000000005</v>
      </c>
    </row>
    <row r="8" spans="2:16" x14ac:dyDescent="0.25">
      <c r="B8" t="s">
        <v>32</v>
      </c>
      <c r="C8" t="s">
        <v>33</v>
      </c>
      <c r="D8" t="s">
        <v>34</v>
      </c>
      <c r="E8" t="s">
        <v>35</v>
      </c>
      <c r="F8" t="s">
        <v>36</v>
      </c>
      <c r="G8" s="6">
        <v>120000</v>
      </c>
      <c r="H8" t="s">
        <v>37</v>
      </c>
      <c r="I8" s="1">
        <v>43416</v>
      </c>
      <c r="J8">
        <v>1</v>
      </c>
      <c r="K8" t="s">
        <v>19</v>
      </c>
      <c r="L8" t="s">
        <v>38</v>
      </c>
      <c r="M8">
        <v>5.6109589041095891</v>
      </c>
      <c r="N8" t="s">
        <v>27</v>
      </c>
      <c r="O8" s="6">
        <f>staff1[[#This Row],[Salary]]*5%</f>
        <v>6000</v>
      </c>
      <c r="P8" s="6">
        <f>IF(staff1[[#This Row],[Tenure]]&lt;3,2%,IF(staff1[[#This Row],[Tenure]]&lt;5,5%,10%))*staff1[[#This Row],[Salary]]</f>
        <v>12000</v>
      </c>
    </row>
    <row r="9" spans="2:16" x14ac:dyDescent="0.25">
      <c r="B9" t="s">
        <v>39</v>
      </c>
      <c r="C9" t="s">
        <v>40</v>
      </c>
      <c r="D9" t="s">
        <v>41</v>
      </c>
      <c r="E9" t="s">
        <v>16</v>
      </c>
      <c r="F9" t="s">
        <v>42</v>
      </c>
      <c r="G9" s="6">
        <v>67905.8</v>
      </c>
      <c r="H9" t="s">
        <v>18</v>
      </c>
      <c r="I9" s="1">
        <v>44194</v>
      </c>
      <c r="J9">
        <v>1</v>
      </c>
      <c r="K9" t="s">
        <v>19</v>
      </c>
      <c r="L9" t="s">
        <v>38</v>
      </c>
      <c r="M9">
        <v>3.4794520547945207</v>
      </c>
      <c r="N9" t="s">
        <v>27</v>
      </c>
      <c r="O9" s="6">
        <f>staff1[[#This Row],[Salary]]*5%</f>
        <v>3395.2900000000004</v>
      </c>
      <c r="P9" s="6">
        <f>IF(staff1[[#This Row],[Tenure]]&lt;3,2%,IF(staff1[[#This Row],[Tenure]]&lt;5,5%,10%))*staff1[[#This Row],[Salary]]</f>
        <v>3395.2900000000004</v>
      </c>
    </row>
    <row r="10" spans="2:16" x14ac:dyDescent="0.25">
      <c r="B10" t="s">
        <v>43</v>
      </c>
      <c r="C10" t="s">
        <v>44</v>
      </c>
      <c r="D10" t="s">
        <v>45</v>
      </c>
      <c r="E10" t="s">
        <v>16</v>
      </c>
      <c r="F10" t="s">
        <v>25</v>
      </c>
      <c r="G10" s="6">
        <v>68980.52</v>
      </c>
      <c r="H10" t="s">
        <v>18</v>
      </c>
      <c r="I10" s="1">
        <v>43494</v>
      </c>
      <c r="J10">
        <v>0.8</v>
      </c>
      <c r="K10" t="s">
        <v>19</v>
      </c>
      <c r="L10" t="s">
        <v>38</v>
      </c>
      <c r="M10">
        <v>5.397260273972603</v>
      </c>
      <c r="N10" t="s">
        <v>21</v>
      </c>
      <c r="O10" s="6">
        <f>staff1[[#This Row],[Salary]]*5%</f>
        <v>3449.0260000000003</v>
      </c>
      <c r="P10" s="6">
        <f>IF(staff1[[#This Row],[Tenure]]&lt;3,2%,IF(staff1[[#This Row],[Tenure]]&lt;5,5%,10%))*staff1[[#This Row],[Salary]]</f>
        <v>6898.0520000000006</v>
      </c>
    </row>
    <row r="11" spans="2:16" x14ac:dyDescent="0.25">
      <c r="B11" t="s">
        <v>46</v>
      </c>
      <c r="C11" t="s">
        <v>47</v>
      </c>
      <c r="D11" t="s">
        <v>48</v>
      </c>
      <c r="E11" t="s">
        <v>16</v>
      </c>
      <c r="F11" t="s">
        <v>49</v>
      </c>
      <c r="G11" s="6">
        <v>63705.4</v>
      </c>
      <c r="H11" t="s">
        <v>18</v>
      </c>
      <c r="I11" s="1">
        <v>43682</v>
      </c>
      <c r="J11">
        <v>1</v>
      </c>
      <c r="K11" t="s">
        <v>19</v>
      </c>
      <c r="L11" t="s">
        <v>26</v>
      </c>
      <c r="M11" s="2">
        <v>4.882191780821918</v>
      </c>
      <c r="N11" t="s">
        <v>27</v>
      </c>
      <c r="O11" s="6">
        <f>staff1[[#This Row],[Salary]]*5%</f>
        <v>3185.2700000000004</v>
      </c>
      <c r="P11" s="6">
        <f>IF(staff1[[#This Row],[Tenure]]&lt;3,2%,IF(staff1[[#This Row],[Tenure]]&lt;5,5%,10%))*staff1[[#This Row],[Salary]]</f>
        <v>3185.2700000000004</v>
      </c>
    </row>
    <row r="12" spans="2:16" x14ac:dyDescent="0.25">
      <c r="B12" t="s">
        <v>50</v>
      </c>
      <c r="C12" t="s">
        <v>51</v>
      </c>
      <c r="D12" t="s">
        <v>52</v>
      </c>
      <c r="E12" t="s">
        <v>16</v>
      </c>
      <c r="F12" t="s">
        <v>53</v>
      </c>
      <c r="G12" s="6">
        <v>114177.23</v>
      </c>
      <c r="H12" t="s">
        <v>37</v>
      </c>
      <c r="I12" s="1">
        <v>43908</v>
      </c>
      <c r="J12">
        <v>1</v>
      </c>
      <c r="K12" t="s">
        <v>19</v>
      </c>
      <c r="L12" t="s">
        <v>20</v>
      </c>
      <c r="M12">
        <v>4.2630136986301368</v>
      </c>
      <c r="N12" t="s">
        <v>27</v>
      </c>
      <c r="O12" s="6">
        <f>staff1[[#This Row],[Salary]]*5%</f>
        <v>5708.8615</v>
      </c>
      <c r="P12" s="6">
        <f>IF(staff1[[#This Row],[Tenure]]&lt;3,2%,IF(staff1[[#This Row],[Tenure]]&lt;5,5%,10%))*staff1[[#This Row],[Salary]]</f>
        <v>5708.8615</v>
      </c>
    </row>
    <row r="13" spans="2:16" x14ac:dyDescent="0.25">
      <c r="B13" t="s">
        <v>54</v>
      </c>
      <c r="C13" t="s">
        <v>55</v>
      </c>
      <c r="D13" t="s">
        <v>56</v>
      </c>
      <c r="E13" t="s">
        <v>35</v>
      </c>
      <c r="F13" t="s">
        <v>49</v>
      </c>
      <c r="G13" s="6">
        <v>29774.76</v>
      </c>
      <c r="H13" t="s">
        <v>57</v>
      </c>
      <c r="I13" s="1">
        <v>44105</v>
      </c>
      <c r="J13">
        <v>1</v>
      </c>
      <c r="K13" t="s">
        <v>19</v>
      </c>
      <c r="L13" t="s">
        <v>20</v>
      </c>
      <c r="M13" s="2">
        <v>3.7232876712328768</v>
      </c>
      <c r="N13" t="s">
        <v>27</v>
      </c>
      <c r="O13" s="6">
        <f>staff1[[#This Row],[Salary]]*5%</f>
        <v>1488.7380000000001</v>
      </c>
      <c r="P13" s="6">
        <f>IF(staff1[[#This Row],[Tenure]]&lt;3,2%,IF(staff1[[#This Row],[Tenure]]&lt;5,5%,10%))*staff1[[#This Row],[Salary]]</f>
        <v>1488.7380000000001</v>
      </c>
    </row>
    <row r="14" spans="2:16" x14ac:dyDescent="0.25">
      <c r="B14" t="s">
        <v>58</v>
      </c>
      <c r="C14" t="s">
        <v>59</v>
      </c>
      <c r="D14" t="s">
        <v>60</v>
      </c>
      <c r="E14" t="s">
        <v>35</v>
      </c>
      <c r="F14" t="s">
        <v>53</v>
      </c>
      <c r="G14" s="6">
        <v>52963.65</v>
      </c>
      <c r="H14" t="s">
        <v>18</v>
      </c>
      <c r="I14" s="1">
        <v>44288</v>
      </c>
      <c r="J14">
        <v>0.3</v>
      </c>
      <c r="K14" t="s">
        <v>19</v>
      </c>
      <c r="L14" t="s">
        <v>31</v>
      </c>
      <c r="M14">
        <v>3.2219178082191782</v>
      </c>
      <c r="N14" t="s">
        <v>21</v>
      </c>
      <c r="O14" s="6">
        <f>staff1[[#This Row],[Salary]]*5%</f>
        <v>2648.1825000000003</v>
      </c>
      <c r="P14" s="6">
        <f>IF(staff1[[#This Row],[Tenure]]&lt;3,2%,IF(staff1[[#This Row],[Tenure]]&lt;5,5%,10%))*staff1[[#This Row],[Salary]]</f>
        <v>2648.1825000000003</v>
      </c>
    </row>
    <row r="15" spans="2:16" x14ac:dyDescent="0.25">
      <c r="B15" t="s">
        <v>61</v>
      </c>
      <c r="C15" t="s">
        <v>62</v>
      </c>
      <c r="D15" t="s">
        <v>63</v>
      </c>
      <c r="E15" t="s">
        <v>35</v>
      </c>
      <c r="F15" t="s">
        <v>64</v>
      </c>
      <c r="G15" s="6">
        <v>50310.09</v>
      </c>
      <c r="H15" t="s">
        <v>18</v>
      </c>
      <c r="I15" s="1">
        <v>44285</v>
      </c>
      <c r="J15">
        <v>0.4</v>
      </c>
      <c r="K15" t="s">
        <v>19</v>
      </c>
      <c r="L15" t="s">
        <v>26</v>
      </c>
      <c r="M15">
        <v>3.2301369863013698</v>
      </c>
      <c r="N15" t="s">
        <v>21</v>
      </c>
      <c r="O15" s="6">
        <f>staff1[[#This Row],[Salary]]*5%</f>
        <v>2515.5045</v>
      </c>
      <c r="P15" s="6">
        <f>IF(staff1[[#This Row],[Tenure]]&lt;3,2%,IF(staff1[[#This Row],[Tenure]]&lt;5,5%,10%))*staff1[[#This Row],[Salary]]</f>
        <v>2515.5045</v>
      </c>
    </row>
    <row r="16" spans="2:16" x14ac:dyDescent="0.25">
      <c r="B16" t="s">
        <v>65</v>
      </c>
      <c r="C16" t="s">
        <v>66</v>
      </c>
      <c r="D16" t="s">
        <v>67</v>
      </c>
      <c r="E16" t="s">
        <v>16</v>
      </c>
      <c r="F16" t="s">
        <v>68</v>
      </c>
      <c r="G16" s="6">
        <v>84309.95</v>
      </c>
      <c r="H16" t="s">
        <v>18</v>
      </c>
      <c r="I16" s="1">
        <v>44501</v>
      </c>
      <c r="J16">
        <v>1</v>
      </c>
      <c r="K16" t="s">
        <v>19</v>
      </c>
      <c r="L16" t="s">
        <v>38</v>
      </c>
      <c r="M16">
        <v>2.6383561643835618</v>
      </c>
      <c r="N16" t="s">
        <v>27</v>
      </c>
      <c r="O16" s="6">
        <f>staff1[[#This Row],[Salary]]*5%</f>
        <v>4215.4975000000004</v>
      </c>
      <c r="P16" s="6">
        <f>IF(staff1[[#This Row],[Tenure]]&lt;3,2%,IF(staff1[[#This Row],[Tenure]]&lt;5,5%,10%))*staff1[[#This Row],[Salary]]</f>
        <v>1686.1990000000001</v>
      </c>
    </row>
    <row r="17" spans="2:16" x14ac:dyDescent="0.25">
      <c r="B17" t="s">
        <v>69</v>
      </c>
      <c r="C17" t="s">
        <v>70</v>
      </c>
      <c r="D17" t="s">
        <v>71</v>
      </c>
      <c r="E17" t="s">
        <v>35</v>
      </c>
      <c r="F17" t="s">
        <v>53</v>
      </c>
      <c r="G17" s="6">
        <v>35936.31</v>
      </c>
      <c r="H17" t="s">
        <v>57</v>
      </c>
      <c r="I17" s="1">
        <v>43241</v>
      </c>
      <c r="J17">
        <v>1</v>
      </c>
      <c r="K17" t="s">
        <v>19</v>
      </c>
      <c r="L17" t="s">
        <v>72</v>
      </c>
      <c r="M17">
        <v>6.0904109589041093</v>
      </c>
      <c r="N17" t="s">
        <v>27</v>
      </c>
      <c r="O17" s="6">
        <f>staff1[[#This Row],[Salary]]*5%</f>
        <v>1796.8154999999999</v>
      </c>
      <c r="P17" s="6">
        <f>IF(staff1[[#This Row],[Tenure]]&lt;3,2%,IF(staff1[[#This Row],[Tenure]]&lt;5,5%,10%))*staff1[[#This Row],[Salary]]</f>
        <v>3593.6309999999999</v>
      </c>
    </row>
    <row r="18" spans="2:16" x14ac:dyDescent="0.25">
      <c r="B18" t="s">
        <v>73</v>
      </c>
      <c r="C18" t="s">
        <v>74</v>
      </c>
      <c r="D18" t="s">
        <v>75</v>
      </c>
      <c r="E18" t="s">
        <v>35</v>
      </c>
      <c r="F18" t="s">
        <v>36</v>
      </c>
      <c r="G18" s="6">
        <v>112645.99</v>
      </c>
      <c r="H18" t="s">
        <v>37</v>
      </c>
      <c r="I18" s="1">
        <v>43759</v>
      </c>
      <c r="J18">
        <v>0.6</v>
      </c>
      <c r="K18" t="s">
        <v>19</v>
      </c>
      <c r="L18" t="s">
        <v>76</v>
      </c>
      <c r="M18">
        <v>4.6712328767123283</v>
      </c>
      <c r="N18" t="s">
        <v>21</v>
      </c>
      <c r="O18" s="6">
        <f>staff1[[#This Row],[Salary]]*5%</f>
        <v>5632.299500000001</v>
      </c>
      <c r="P18" s="6">
        <f>IF(staff1[[#This Row],[Tenure]]&lt;3,2%,IF(staff1[[#This Row],[Tenure]]&lt;5,5%,10%))*staff1[[#This Row],[Salary]]</f>
        <v>5632.299500000001</v>
      </c>
    </row>
    <row r="19" spans="2:16" x14ac:dyDescent="0.25">
      <c r="B19" t="s">
        <v>77</v>
      </c>
      <c r="C19" t="s">
        <v>78</v>
      </c>
      <c r="D19" t="s">
        <v>79</v>
      </c>
      <c r="E19" t="s">
        <v>35</v>
      </c>
      <c r="F19" t="s">
        <v>53</v>
      </c>
      <c r="G19" s="6">
        <v>91645.04</v>
      </c>
      <c r="H19" t="s">
        <v>18</v>
      </c>
      <c r="I19" s="1">
        <v>44223</v>
      </c>
      <c r="J19">
        <v>1</v>
      </c>
      <c r="K19" t="s">
        <v>19</v>
      </c>
      <c r="L19" t="s">
        <v>80</v>
      </c>
      <c r="M19">
        <v>3.4</v>
      </c>
      <c r="N19" t="s">
        <v>27</v>
      </c>
      <c r="O19" s="6">
        <f>staff1[[#This Row],[Salary]]*5%</f>
        <v>4582.2519999999995</v>
      </c>
      <c r="P19" s="6">
        <f>IF(staff1[[#This Row],[Tenure]]&lt;3,2%,IF(staff1[[#This Row],[Tenure]]&lt;5,5%,10%))*staff1[[#This Row],[Salary]]</f>
        <v>4582.2519999999995</v>
      </c>
    </row>
    <row r="20" spans="2:16" x14ac:dyDescent="0.25">
      <c r="B20" t="s">
        <v>81</v>
      </c>
      <c r="C20" t="s">
        <v>82</v>
      </c>
      <c r="D20" t="s">
        <v>83</v>
      </c>
      <c r="E20" t="s">
        <v>16</v>
      </c>
      <c r="F20" t="s">
        <v>36</v>
      </c>
      <c r="G20" s="6">
        <v>97105.19</v>
      </c>
      <c r="H20" t="s">
        <v>18</v>
      </c>
      <c r="I20" s="1">
        <v>44425</v>
      </c>
      <c r="J20">
        <v>1</v>
      </c>
      <c r="K20" t="s">
        <v>19</v>
      </c>
      <c r="L20" t="s">
        <v>31</v>
      </c>
      <c r="M20">
        <v>2.8465753424657536</v>
      </c>
      <c r="N20" t="s">
        <v>27</v>
      </c>
      <c r="O20" s="6">
        <f>staff1[[#This Row],[Salary]]*5%</f>
        <v>4855.2595000000001</v>
      </c>
      <c r="P20" s="6">
        <f>IF(staff1[[#This Row],[Tenure]]&lt;3,2%,IF(staff1[[#This Row],[Tenure]]&lt;5,5%,10%))*staff1[[#This Row],[Salary]]</f>
        <v>1942.1038000000001</v>
      </c>
    </row>
    <row r="21" spans="2:16" x14ac:dyDescent="0.25">
      <c r="B21" t="s">
        <v>84</v>
      </c>
      <c r="C21" t="s">
        <v>85</v>
      </c>
      <c r="D21" t="s">
        <v>86</v>
      </c>
      <c r="E21" t="s">
        <v>35</v>
      </c>
      <c r="F21" t="s">
        <v>87</v>
      </c>
      <c r="G21" s="6">
        <v>84742.86</v>
      </c>
      <c r="H21" t="s">
        <v>18</v>
      </c>
      <c r="I21" s="1">
        <v>44098</v>
      </c>
      <c r="J21">
        <v>1</v>
      </c>
      <c r="K21" t="s">
        <v>19</v>
      </c>
      <c r="L21" t="s">
        <v>80</v>
      </c>
      <c r="M21">
        <v>3.7424657534246575</v>
      </c>
      <c r="N21" t="s">
        <v>27</v>
      </c>
      <c r="O21" s="6">
        <f>staff1[[#This Row],[Salary]]*5%</f>
        <v>4237.143</v>
      </c>
      <c r="P21" s="6">
        <f>IF(staff1[[#This Row],[Tenure]]&lt;3,2%,IF(staff1[[#This Row],[Tenure]]&lt;5,5%,10%))*staff1[[#This Row],[Salary]]</f>
        <v>4237.143</v>
      </c>
    </row>
    <row r="22" spans="2:16" x14ac:dyDescent="0.25">
      <c r="B22" t="s">
        <v>88</v>
      </c>
      <c r="C22" t="s">
        <v>89</v>
      </c>
      <c r="D22" t="s">
        <v>90</v>
      </c>
      <c r="E22" t="s">
        <v>35</v>
      </c>
      <c r="F22" t="s">
        <v>25</v>
      </c>
      <c r="G22" s="6">
        <v>85918.61</v>
      </c>
      <c r="H22" t="s">
        <v>18</v>
      </c>
      <c r="I22" s="1">
        <v>43136</v>
      </c>
      <c r="J22">
        <v>1</v>
      </c>
      <c r="K22" t="s">
        <v>19</v>
      </c>
      <c r="L22" t="s">
        <v>31</v>
      </c>
      <c r="M22">
        <v>6.3780821917808215</v>
      </c>
      <c r="N22" t="s">
        <v>27</v>
      </c>
      <c r="O22" s="6">
        <f>staff1[[#This Row],[Salary]]*5%</f>
        <v>4295.9305000000004</v>
      </c>
      <c r="P22" s="6">
        <f>IF(staff1[[#This Row],[Tenure]]&lt;3,2%,IF(staff1[[#This Row],[Tenure]]&lt;5,5%,10%))*staff1[[#This Row],[Salary]]</f>
        <v>8591.8610000000008</v>
      </c>
    </row>
    <row r="23" spans="2:16" x14ac:dyDescent="0.25">
      <c r="B23" t="s">
        <v>91</v>
      </c>
      <c r="C23" t="s">
        <v>92</v>
      </c>
      <c r="D23" t="s">
        <v>93</v>
      </c>
      <c r="E23" t="s">
        <v>16</v>
      </c>
      <c r="F23" t="s">
        <v>94</v>
      </c>
      <c r="G23" s="6">
        <v>72502.61</v>
      </c>
      <c r="H23" t="s">
        <v>18</v>
      </c>
      <c r="I23" s="1">
        <v>44235</v>
      </c>
      <c r="J23">
        <v>1</v>
      </c>
      <c r="K23" t="s">
        <v>19</v>
      </c>
      <c r="L23" t="s">
        <v>20</v>
      </c>
      <c r="M23">
        <v>3.3671232876712329</v>
      </c>
      <c r="N23" t="s">
        <v>27</v>
      </c>
      <c r="O23" s="6">
        <f>staff1[[#This Row],[Salary]]*5%</f>
        <v>3625.1305000000002</v>
      </c>
      <c r="P23" s="6">
        <f>IF(staff1[[#This Row],[Tenure]]&lt;3,2%,IF(staff1[[#This Row],[Tenure]]&lt;5,5%,10%))*staff1[[#This Row],[Salary]]</f>
        <v>3625.1305000000002</v>
      </c>
    </row>
    <row r="24" spans="2:16" x14ac:dyDescent="0.25">
      <c r="B24" t="s">
        <v>95</v>
      </c>
      <c r="C24" t="s">
        <v>96</v>
      </c>
      <c r="D24" t="s">
        <v>97</v>
      </c>
      <c r="E24" t="s">
        <v>35</v>
      </c>
      <c r="F24" t="s">
        <v>87</v>
      </c>
      <c r="G24" s="6">
        <v>77096.05</v>
      </c>
      <c r="H24" t="s">
        <v>18</v>
      </c>
      <c r="I24" s="1">
        <v>43217</v>
      </c>
      <c r="J24">
        <v>1</v>
      </c>
      <c r="K24" t="s">
        <v>19</v>
      </c>
      <c r="L24" t="s">
        <v>72</v>
      </c>
      <c r="M24">
        <v>6.1561643835616442</v>
      </c>
      <c r="N24" t="s">
        <v>27</v>
      </c>
      <c r="O24" s="6">
        <f>staff1[[#This Row],[Salary]]*5%</f>
        <v>3854.8025000000002</v>
      </c>
      <c r="P24" s="6">
        <f>IF(staff1[[#This Row],[Tenure]]&lt;3,2%,IF(staff1[[#This Row],[Tenure]]&lt;5,5%,10%))*staff1[[#This Row],[Salary]]</f>
        <v>7709.6050000000005</v>
      </c>
    </row>
    <row r="25" spans="2:16" x14ac:dyDescent="0.25">
      <c r="B25" t="s">
        <v>98</v>
      </c>
      <c r="C25" t="s">
        <v>99</v>
      </c>
      <c r="D25" t="s">
        <v>100</v>
      </c>
      <c r="E25" t="s">
        <v>16</v>
      </c>
      <c r="F25" t="s">
        <v>68</v>
      </c>
      <c r="G25" s="6">
        <v>50449.46</v>
      </c>
      <c r="H25" t="s">
        <v>18</v>
      </c>
      <c r="I25" s="1">
        <v>43418</v>
      </c>
      <c r="J25">
        <v>0.8</v>
      </c>
      <c r="K25" t="s">
        <v>19</v>
      </c>
      <c r="L25" t="s">
        <v>80</v>
      </c>
      <c r="M25">
        <v>5.6054794520547944</v>
      </c>
      <c r="N25" t="s">
        <v>21</v>
      </c>
      <c r="O25" s="6">
        <f>staff1[[#This Row],[Salary]]*5%</f>
        <v>2522.473</v>
      </c>
      <c r="P25" s="6">
        <f>IF(staff1[[#This Row],[Tenure]]&lt;3,2%,IF(staff1[[#This Row],[Tenure]]&lt;5,5%,10%))*staff1[[#This Row],[Salary]]</f>
        <v>5044.9459999999999</v>
      </c>
    </row>
    <row r="26" spans="2:16" x14ac:dyDescent="0.25">
      <c r="B26" t="s">
        <v>101</v>
      </c>
      <c r="C26" t="s">
        <v>102</v>
      </c>
      <c r="D26" t="s">
        <v>103</v>
      </c>
      <c r="E26" t="s">
        <v>35</v>
      </c>
      <c r="F26" t="s">
        <v>64</v>
      </c>
      <c r="G26" s="6">
        <v>48525.71</v>
      </c>
      <c r="H26" t="s">
        <v>57</v>
      </c>
      <c r="I26" s="1">
        <v>43264</v>
      </c>
      <c r="J26">
        <v>1</v>
      </c>
      <c r="K26" t="s">
        <v>19</v>
      </c>
      <c r="L26" t="s">
        <v>26</v>
      </c>
      <c r="M26">
        <v>6.0273972602739727</v>
      </c>
      <c r="N26" t="s">
        <v>27</v>
      </c>
      <c r="O26" s="6">
        <f>staff1[[#This Row],[Salary]]*5%</f>
        <v>2426.2855</v>
      </c>
      <c r="P26" s="6">
        <f>IF(staff1[[#This Row],[Tenure]]&lt;3,2%,IF(staff1[[#This Row],[Tenure]]&lt;5,5%,10%))*staff1[[#This Row],[Salary]]</f>
        <v>4852.5709999999999</v>
      </c>
    </row>
    <row r="27" spans="2:16" x14ac:dyDescent="0.25">
      <c r="B27" t="s">
        <v>104</v>
      </c>
      <c r="C27" t="s">
        <v>105</v>
      </c>
      <c r="D27" t="s">
        <v>106</v>
      </c>
      <c r="E27" t="s">
        <v>35</v>
      </c>
      <c r="F27" t="s">
        <v>53</v>
      </c>
      <c r="G27" s="6">
        <v>36547.58</v>
      </c>
      <c r="H27" t="s">
        <v>57</v>
      </c>
      <c r="I27" s="1">
        <v>43416</v>
      </c>
      <c r="J27">
        <v>1</v>
      </c>
      <c r="K27" t="s">
        <v>19</v>
      </c>
      <c r="L27" t="s">
        <v>38</v>
      </c>
      <c r="M27">
        <v>5.6109589041095891</v>
      </c>
      <c r="N27" t="s">
        <v>27</v>
      </c>
      <c r="O27" s="6">
        <f>staff1[[#This Row],[Salary]]*5%</f>
        <v>1827.3790000000001</v>
      </c>
      <c r="P27" s="6">
        <f>IF(staff1[[#This Row],[Tenure]]&lt;3,2%,IF(staff1[[#This Row],[Tenure]]&lt;5,5%,10%))*staff1[[#This Row],[Salary]]</f>
        <v>3654.7580000000003</v>
      </c>
    </row>
    <row r="28" spans="2:16" x14ac:dyDescent="0.25">
      <c r="B28" t="s">
        <v>104</v>
      </c>
      <c r="C28" t="s">
        <v>105</v>
      </c>
      <c r="D28" t="s">
        <v>106</v>
      </c>
      <c r="E28" t="s">
        <v>35</v>
      </c>
      <c r="F28" t="s">
        <v>53</v>
      </c>
      <c r="G28" s="6">
        <v>36547.58</v>
      </c>
      <c r="H28" t="s">
        <v>57</v>
      </c>
      <c r="I28" s="1">
        <v>43416</v>
      </c>
      <c r="J28">
        <v>1</v>
      </c>
      <c r="K28" t="s">
        <v>19</v>
      </c>
      <c r="L28" t="s">
        <v>38</v>
      </c>
      <c r="M28">
        <v>5.6109589041095891</v>
      </c>
      <c r="N28" t="s">
        <v>27</v>
      </c>
      <c r="O28" s="6">
        <f>staff1[[#This Row],[Salary]]*5%</f>
        <v>1827.3790000000001</v>
      </c>
      <c r="P28" s="6">
        <f>IF(staff1[[#This Row],[Tenure]]&lt;3,2%,IF(staff1[[#This Row],[Tenure]]&lt;5,5%,10%))*staff1[[#This Row],[Salary]]</f>
        <v>3654.7580000000003</v>
      </c>
    </row>
    <row r="29" spans="2:16" x14ac:dyDescent="0.25">
      <c r="B29" t="s">
        <v>107</v>
      </c>
      <c r="C29" t="s">
        <v>108</v>
      </c>
      <c r="D29" t="s">
        <v>109</v>
      </c>
      <c r="E29" t="s">
        <v>35</v>
      </c>
      <c r="F29" t="s">
        <v>94</v>
      </c>
      <c r="G29" s="6">
        <v>115191.38</v>
      </c>
      <c r="H29" t="s">
        <v>37</v>
      </c>
      <c r="I29" s="1">
        <v>44004</v>
      </c>
      <c r="J29">
        <v>1</v>
      </c>
      <c r="K29" t="s">
        <v>19</v>
      </c>
      <c r="L29" t="s">
        <v>26</v>
      </c>
      <c r="M29">
        <v>4</v>
      </c>
      <c r="N29" t="s">
        <v>27</v>
      </c>
      <c r="O29" s="6">
        <f>staff1[[#This Row],[Salary]]*5%</f>
        <v>5759.5690000000004</v>
      </c>
      <c r="P29" s="6">
        <f>IF(staff1[[#This Row],[Tenure]]&lt;3,2%,IF(staff1[[#This Row],[Tenure]]&lt;5,5%,10%))*staff1[[#This Row],[Salary]]</f>
        <v>5759.5690000000004</v>
      </c>
    </row>
    <row r="30" spans="2:16" x14ac:dyDescent="0.25">
      <c r="B30" t="s">
        <v>110</v>
      </c>
      <c r="C30" t="s">
        <v>111</v>
      </c>
      <c r="D30" t="s">
        <v>112</v>
      </c>
      <c r="E30" t="s">
        <v>16</v>
      </c>
      <c r="F30" t="s">
        <v>36</v>
      </c>
      <c r="G30" s="6">
        <v>58861.19</v>
      </c>
      <c r="H30" t="s">
        <v>18</v>
      </c>
      <c r="I30" s="1">
        <v>43654</v>
      </c>
      <c r="J30">
        <v>1</v>
      </c>
      <c r="K30" t="s">
        <v>19</v>
      </c>
      <c r="L30" t="s">
        <v>31</v>
      </c>
      <c r="M30">
        <v>4.9589041095890414</v>
      </c>
      <c r="N30" t="s">
        <v>27</v>
      </c>
      <c r="O30" s="6">
        <f>staff1[[#This Row],[Salary]]*5%</f>
        <v>2943.0595000000003</v>
      </c>
      <c r="P30" s="6">
        <f>IF(staff1[[#This Row],[Tenure]]&lt;3,2%,IF(staff1[[#This Row],[Tenure]]&lt;5,5%,10%))*staff1[[#This Row],[Salary]]</f>
        <v>2943.0595000000003</v>
      </c>
    </row>
    <row r="31" spans="2:16" x14ac:dyDescent="0.25">
      <c r="B31" t="s">
        <v>113</v>
      </c>
      <c r="C31" t="s">
        <v>114</v>
      </c>
      <c r="D31" t="s">
        <v>115</v>
      </c>
      <c r="E31" t="s">
        <v>16</v>
      </c>
      <c r="F31" t="s">
        <v>116</v>
      </c>
      <c r="G31" s="6">
        <v>75974.990000000005</v>
      </c>
      <c r="H31" t="s">
        <v>18</v>
      </c>
      <c r="I31" s="1">
        <v>44172</v>
      </c>
      <c r="J31">
        <v>1</v>
      </c>
      <c r="K31" t="s">
        <v>19</v>
      </c>
      <c r="L31" t="s">
        <v>38</v>
      </c>
      <c r="M31">
        <v>3.5397260273972604</v>
      </c>
      <c r="N31" t="s">
        <v>27</v>
      </c>
      <c r="O31" s="6">
        <f>staff1[[#This Row],[Salary]]*5%</f>
        <v>3798.7495000000004</v>
      </c>
      <c r="P31" s="6">
        <f>IF(staff1[[#This Row],[Tenure]]&lt;3,2%,IF(staff1[[#This Row],[Tenure]]&lt;5,5%,10%))*staff1[[#This Row],[Salary]]</f>
        <v>3798.7495000000004</v>
      </c>
    </row>
    <row r="32" spans="2:16" x14ac:dyDescent="0.25">
      <c r="B32" t="s">
        <v>117</v>
      </c>
      <c r="C32" t="s">
        <v>118</v>
      </c>
      <c r="D32" t="s">
        <v>119</v>
      </c>
      <c r="E32" t="s">
        <v>35</v>
      </c>
      <c r="F32" t="s">
        <v>53</v>
      </c>
      <c r="G32" s="6">
        <v>95954.02</v>
      </c>
      <c r="H32" t="s">
        <v>18</v>
      </c>
      <c r="I32" s="1">
        <v>43567</v>
      </c>
      <c r="J32">
        <v>0.3</v>
      </c>
      <c r="K32" t="s">
        <v>19</v>
      </c>
      <c r="L32" t="s">
        <v>26</v>
      </c>
      <c r="M32">
        <v>5.1972602739726028</v>
      </c>
      <c r="N32" t="s">
        <v>21</v>
      </c>
      <c r="O32" s="6">
        <f>staff1[[#This Row],[Salary]]*5%</f>
        <v>4797.701</v>
      </c>
      <c r="P32" s="6">
        <f>IF(staff1[[#This Row],[Tenure]]&lt;3,2%,IF(staff1[[#This Row],[Tenure]]&lt;5,5%,10%))*staff1[[#This Row],[Salary]]</f>
        <v>9595.402</v>
      </c>
    </row>
    <row r="33" spans="2:16" x14ac:dyDescent="0.25">
      <c r="B33" t="s">
        <v>120</v>
      </c>
      <c r="C33" t="s">
        <v>121</v>
      </c>
      <c r="D33" t="s">
        <v>122</v>
      </c>
      <c r="E33" t="s">
        <v>16</v>
      </c>
      <c r="F33" t="s">
        <v>17</v>
      </c>
      <c r="G33" s="6">
        <v>102934.09</v>
      </c>
      <c r="H33" t="s">
        <v>37</v>
      </c>
      <c r="I33" s="1">
        <v>44315</v>
      </c>
      <c r="J33">
        <v>1</v>
      </c>
      <c r="K33" t="s">
        <v>19</v>
      </c>
      <c r="L33" t="s">
        <v>26</v>
      </c>
      <c r="M33">
        <v>3.1479452054794521</v>
      </c>
      <c r="N33" t="s">
        <v>27</v>
      </c>
      <c r="O33" s="6">
        <f>staff1[[#This Row],[Salary]]*5%</f>
        <v>5146.7044999999998</v>
      </c>
      <c r="P33" s="6">
        <f>IF(staff1[[#This Row],[Tenure]]&lt;3,2%,IF(staff1[[#This Row],[Tenure]]&lt;5,5%,10%))*staff1[[#This Row],[Salary]]</f>
        <v>5146.7044999999998</v>
      </c>
    </row>
    <row r="34" spans="2:16" x14ac:dyDescent="0.25">
      <c r="B34" t="s">
        <v>123</v>
      </c>
      <c r="C34" t="s">
        <v>124</v>
      </c>
      <c r="D34" t="s">
        <v>125</v>
      </c>
      <c r="E34" t="s">
        <v>16</v>
      </c>
      <c r="F34" t="s">
        <v>126</v>
      </c>
      <c r="G34" s="6">
        <v>41934.71</v>
      </c>
      <c r="H34" t="s">
        <v>57</v>
      </c>
      <c r="I34" s="1">
        <v>43780</v>
      </c>
      <c r="J34">
        <v>1</v>
      </c>
      <c r="K34" t="s">
        <v>19</v>
      </c>
      <c r="L34" t="s">
        <v>38</v>
      </c>
      <c r="M34">
        <v>4.6136986301369864</v>
      </c>
      <c r="N34" t="s">
        <v>27</v>
      </c>
      <c r="O34" s="6">
        <f>staff1[[#This Row],[Salary]]*5%</f>
        <v>2096.7355000000002</v>
      </c>
      <c r="P34" s="6">
        <f>IF(staff1[[#This Row],[Tenure]]&lt;3,2%,IF(staff1[[#This Row],[Tenure]]&lt;5,5%,10%))*staff1[[#This Row],[Salary]]</f>
        <v>2096.7355000000002</v>
      </c>
    </row>
    <row r="35" spans="2:16" x14ac:dyDescent="0.25">
      <c r="B35" t="s">
        <v>127</v>
      </c>
      <c r="C35" t="s">
        <v>128</v>
      </c>
      <c r="D35" t="s">
        <v>129</v>
      </c>
      <c r="E35" t="s">
        <v>35</v>
      </c>
      <c r="F35" t="s">
        <v>94</v>
      </c>
      <c r="G35" s="6">
        <v>104335.03999999999</v>
      </c>
      <c r="H35" t="s">
        <v>37</v>
      </c>
      <c r="I35" s="1">
        <v>43874</v>
      </c>
      <c r="J35">
        <v>1</v>
      </c>
      <c r="K35" t="s">
        <v>19</v>
      </c>
      <c r="L35" t="s">
        <v>31</v>
      </c>
      <c r="M35">
        <v>4.3561643835616435</v>
      </c>
      <c r="N35" t="s">
        <v>27</v>
      </c>
      <c r="O35" s="6">
        <f>staff1[[#This Row],[Salary]]*5%</f>
        <v>5216.7520000000004</v>
      </c>
      <c r="P35" s="6">
        <f>IF(staff1[[#This Row],[Tenure]]&lt;3,2%,IF(staff1[[#This Row],[Tenure]]&lt;5,5%,10%))*staff1[[#This Row],[Salary]]</f>
        <v>5216.7520000000004</v>
      </c>
    </row>
    <row r="36" spans="2:16" x14ac:dyDescent="0.25">
      <c r="B36" t="s">
        <v>130</v>
      </c>
      <c r="C36" t="s">
        <v>131</v>
      </c>
      <c r="D36" t="s">
        <v>132</v>
      </c>
      <c r="E36" t="s">
        <v>16</v>
      </c>
      <c r="F36" t="s">
        <v>87</v>
      </c>
      <c r="G36" s="6">
        <v>81897.789999999994</v>
      </c>
      <c r="H36" t="s">
        <v>18</v>
      </c>
      <c r="I36" s="1">
        <v>43146</v>
      </c>
      <c r="J36">
        <v>1</v>
      </c>
      <c r="K36" t="s">
        <v>19</v>
      </c>
      <c r="L36" t="s">
        <v>80</v>
      </c>
      <c r="M36">
        <v>6.3506849315068497</v>
      </c>
      <c r="N36" t="s">
        <v>27</v>
      </c>
      <c r="O36" s="6">
        <f>staff1[[#This Row],[Salary]]*5%</f>
        <v>4094.8894999999998</v>
      </c>
      <c r="P36" s="6">
        <f>IF(staff1[[#This Row],[Tenure]]&lt;3,2%,IF(staff1[[#This Row],[Tenure]]&lt;5,5%,10%))*staff1[[#This Row],[Salary]]</f>
        <v>8189.7789999999995</v>
      </c>
    </row>
    <row r="37" spans="2:16" x14ac:dyDescent="0.25">
      <c r="B37" t="s">
        <v>133</v>
      </c>
      <c r="C37" t="s">
        <v>134</v>
      </c>
      <c r="D37" t="s">
        <v>135</v>
      </c>
      <c r="E37" t="s">
        <v>16</v>
      </c>
      <c r="F37" t="s">
        <v>36</v>
      </c>
      <c r="G37" s="6">
        <v>78378.2</v>
      </c>
      <c r="H37" t="s">
        <v>18</v>
      </c>
      <c r="I37" s="1">
        <v>43465</v>
      </c>
      <c r="J37">
        <v>0.4</v>
      </c>
      <c r="K37" t="s">
        <v>19</v>
      </c>
      <c r="L37" t="s">
        <v>38</v>
      </c>
      <c r="M37">
        <v>5.4767123287671229</v>
      </c>
      <c r="N37" t="s">
        <v>21</v>
      </c>
      <c r="O37" s="6">
        <f>staff1[[#This Row],[Salary]]*5%</f>
        <v>3918.91</v>
      </c>
      <c r="P37" s="6">
        <f>IF(staff1[[#This Row],[Tenure]]&lt;3,2%,IF(staff1[[#This Row],[Tenure]]&lt;5,5%,10%))*staff1[[#This Row],[Salary]]</f>
        <v>7837.82</v>
      </c>
    </row>
    <row r="38" spans="2:16" x14ac:dyDescent="0.25">
      <c r="B38" t="s">
        <v>136</v>
      </c>
      <c r="C38" t="s">
        <v>137</v>
      </c>
      <c r="D38" t="s">
        <v>138</v>
      </c>
      <c r="E38" t="s">
        <v>16</v>
      </c>
      <c r="F38" t="s">
        <v>64</v>
      </c>
      <c r="G38" s="6">
        <v>61994.76</v>
      </c>
      <c r="H38" t="s">
        <v>18</v>
      </c>
      <c r="I38" s="1">
        <v>43794</v>
      </c>
      <c r="J38">
        <v>0.3</v>
      </c>
      <c r="K38" t="s">
        <v>19</v>
      </c>
      <c r="L38" t="s">
        <v>26</v>
      </c>
      <c r="M38">
        <v>4.5753424657534243</v>
      </c>
      <c r="N38" t="s">
        <v>21</v>
      </c>
      <c r="O38" s="6">
        <f>staff1[[#This Row],[Salary]]*5%</f>
        <v>3099.7380000000003</v>
      </c>
      <c r="P38" s="6">
        <f>IF(staff1[[#This Row],[Tenure]]&lt;3,2%,IF(staff1[[#This Row],[Tenure]]&lt;5,5%,10%))*staff1[[#This Row],[Salary]]</f>
        <v>3099.7380000000003</v>
      </c>
    </row>
    <row r="39" spans="2:16" x14ac:dyDescent="0.25">
      <c r="B39" t="s">
        <v>139</v>
      </c>
      <c r="C39" t="s">
        <v>140</v>
      </c>
      <c r="D39" t="s">
        <v>141</v>
      </c>
      <c r="E39" t="s">
        <v>35</v>
      </c>
      <c r="F39" t="s">
        <v>42</v>
      </c>
      <c r="G39" s="6">
        <v>37362.300000000003</v>
      </c>
      <c r="H39" t="s">
        <v>57</v>
      </c>
      <c r="I39" s="1">
        <v>43642</v>
      </c>
      <c r="J39">
        <v>1</v>
      </c>
      <c r="K39" t="s">
        <v>19</v>
      </c>
      <c r="L39" t="s">
        <v>80</v>
      </c>
      <c r="M39">
        <v>4.9917808219178079</v>
      </c>
      <c r="N39" t="s">
        <v>27</v>
      </c>
      <c r="O39" s="6">
        <f>staff1[[#This Row],[Salary]]*5%</f>
        <v>1868.1150000000002</v>
      </c>
      <c r="P39" s="6">
        <f>IF(staff1[[#This Row],[Tenure]]&lt;3,2%,IF(staff1[[#This Row],[Tenure]]&lt;5,5%,10%))*staff1[[#This Row],[Salary]]</f>
        <v>1868.1150000000002</v>
      </c>
    </row>
    <row r="40" spans="2:16" x14ac:dyDescent="0.25">
      <c r="B40" t="s">
        <v>142</v>
      </c>
      <c r="C40" t="s">
        <v>143</v>
      </c>
      <c r="D40" t="s">
        <v>144</v>
      </c>
      <c r="E40" t="s">
        <v>16</v>
      </c>
      <c r="F40" t="s">
        <v>17</v>
      </c>
      <c r="G40" s="6">
        <v>84745.93</v>
      </c>
      <c r="H40" t="s">
        <v>18</v>
      </c>
      <c r="I40" s="1">
        <v>43707</v>
      </c>
      <c r="J40">
        <v>1</v>
      </c>
      <c r="K40" t="s">
        <v>19</v>
      </c>
      <c r="L40" t="s">
        <v>20</v>
      </c>
      <c r="M40">
        <v>4.8136986301369866</v>
      </c>
      <c r="N40" t="s">
        <v>27</v>
      </c>
      <c r="O40" s="6">
        <f>staff1[[#This Row],[Salary]]*5%</f>
        <v>4237.2964999999995</v>
      </c>
      <c r="P40" s="6">
        <f>IF(staff1[[#This Row],[Tenure]]&lt;3,2%,IF(staff1[[#This Row],[Tenure]]&lt;5,5%,10%))*staff1[[#This Row],[Salary]]</f>
        <v>4237.2964999999995</v>
      </c>
    </row>
    <row r="41" spans="2:16" x14ac:dyDescent="0.25">
      <c r="B41" t="s">
        <v>145</v>
      </c>
      <c r="C41" t="s">
        <v>146</v>
      </c>
      <c r="D41" t="s">
        <v>147</v>
      </c>
      <c r="E41" t="s">
        <v>35</v>
      </c>
      <c r="F41" t="s">
        <v>126</v>
      </c>
      <c r="G41" s="6">
        <v>32192.15</v>
      </c>
      <c r="H41" t="s">
        <v>57</v>
      </c>
      <c r="I41" s="1">
        <v>44473</v>
      </c>
      <c r="J41">
        <v>1</v>
      </c>
      <c r="K41" t="s">
        <v>19</v>
      </c>
      <c r="L41" t="s">
        <v>26</v>
      </c>
      <c r="M41">
        <v>2.7150684931506848</v>
      </c>
      <c r="N41" t="s">
        <v>27</v>
      </c>
      <c r="O41" s="6">
        <f>staff1[[#This Row],[Salary]]*5%</f>
        <v>1609.6075000000001</v>
      </c>
      <c r="P41" s="6">
        <f>IF(staff1[[#This Row],[Tenure]]&lt;3,2%,IF(staff1[[#This Row],[Tenure]]&lt;5,5%,10%))*staff1[[#This Row],[Salary]]</f>
        <v>643.84300000000007</v>
      </c>
    </row>
    <row r="42" spans="2:16" x14ac:dyDescent="0.25">
      <c r="B42" t="s">
        <v>148</v>
      </c>
      <c r="C42" t="s">
        <v>149</v>
      </c>
      <c r="D42" t="s">
        <v>150</v>
      </c>
      <c r="E42" t="s">
        <v>35</v>
      </c>
      <c r="F42" t="s">
        <v>116</v>
      </c>
      <c r="G42" s="6">
        <v>36714.379999999997</v>
      </c>
      <c r="H42" t="s">
        <v>57</v>
      </c>
      <c r="I42" s="1">
        <v>44175</v>
      </c>
      <c r="J42">
        <v>1</v>
      </c>
      <c r="K42" t="s">
        <v>19</v>
      </c>
      <c r="L42" t="s">
        <v>72</v>
      </c>
      <c r="M42">
        <v>3.5315068493150683</v>
      </c>
      <c r="N42" t="s">
        <v>27</v>
      </c>
      <c r="O42" s="6">
        <f>staff1[[#This Row],[Salary]]*5%</f>
        <v>1835.7190000000001</v>
      </c>
      <c r="P42" s="6">
        <f>IF(staff1[[#This Row],[Tenure]]&lt;3,2%,IF(staff1[[#This Row],[Tenure]]&lt;5,5%,10%))*staff1[[#This Row],[Salary]]</f>
        <v>1835.7190000000001</v>
      </c>
    </row>
    <row r="43" spans="2:16" x14ac:dyDescent="0.25">
      <c r="B43" t="s">
        <v>151</v>
      </c>
      <c r="C43" t="s">
        <v>152</v>
      </c>
      <c r="D43" t="s">
        <v>153</v>
      </c>
      <c r="E43" t="s">
        <v>16</v>
      </c>
      <c r="F43" t="s">
        <v>87</v>
      </c>
      <c r="G43" s="6">
        <v>89690.38</v>
      </c>
      <c r="H43" t="s">
        <v>18</v>
      </c>
      <c r="I43" s="1">
        <v>43206</v>
      </c>
      <c r="J43">
        <v>1</v>
      </c>
      <c r="K43" t="s">
        <v>19</v>
      </c>
      <c r="L43" t="s">
        <v>20</v>
      </c>
      <c r="M43">
        <v>6.1863013698630134</v>
      </c>
      <c r="N43" t="s">
        <v>27</v>
      </c>
      <c r="O43" s="6">
        <f>staff1[[#This Row],[Salary]]*5%</f>
        <v>4484.5190000000002</v>
      </c>
      <c r="P43" s="6">
        <f>IF(staff1[[#This Row],[Tenure]]&lt;3,2%,IF(staff1[[#This Row],[Tenure]]&lt;5,5%,10%))*staff1[[#This Row],[Salary]]</f>
        <v>8969.0380000000005</v>
      </c>
    </row>
    <row r="44" spans="2:16" x14ac:dyDescent="0.25">
      <c r="B44" t="s">
        <v>154</v>
      </c>
      <c r="C44" t="s">
        <v>155</v>
      </c>
      <c r="D44" t="s">
        <v>156</v>
      </c>
      <c r="E44" t="s">
        <v>16</v>
      </c>
      <c r="F44" t="s">
        <v>126</v>
      </c>
      <c r="G44" s="6">
        <v>39535.49</v>
      </c>
      <c r="H44" t="s">
        <v>57</v>
      </c>
      <c r="I44" s="1">
        <v>43397</v>
      </c>
      <c r="J44">
        <v>0.3</v>
      </c>
      <c r="K44" t="s">
        <v>19</v>
      </c>
      <c r="L44" t="s">
        <v>38</v>
      </c>
      <c r="M44">
        <v>5.6630136986301371</v>
      </c>
      <c r="N44" t="s">
        <v>21</v>
      </c>
      <c r="O44" s="6">
        <f>staff1[[#This Row],[Salary]]*5%</f>
        <v>1976.7745</v>
      </c>
      <c r="P44" s="6">
        <f>IF(staff1[[#This Row],[Tenure]]&lt;3,2%,IF(staff1[[#This Row],[Tenure]]&lt;5,5%,10%))*staff1[[#This Row],[Salary]]</f>
        <v>3953.549</v>
      </c>
    </row>
    <row r="45" spans="2:16" x14ac:dyDescent="0.25">
      <c r="B45" t="s">
        <v>157</v>
      </c>
      <c r="C45" t="s">
        <v>158</v>
      </c>
      <c r="D45" t="s">
        <v>159</v>
      </c>
      <c r="E45" t="s">
        <v>35</v>
      </c>
      <c r="F45" t="s">
        <v>126</v>
      </c>
      <c r="G45" s="6">
        <v>62195.47</v>
      </c>
      <c r="H45" t="s">
        <v>18</v>
      </c>
      <c r="I45" s="1">
        <v>44434</v>
      </c>
      <c r="J45">
        <v>1</v>
      </c>
      <c r="K45" t="s">
        <v>19</v>
      </c>
      <c r="L45" t="s">
        <v>38</v>
      </c>
      <c r="M45">
        <v>2.8219178082191783</v>
      </c>
      <c r="N45" t="s">
        <v>27</v>
      </c>
      <c r="O45" s="6">
        <f>staff1[[#This Row],[Salary]]*5%</f>
        <v>3109.7735000000002</v>
      </c>
      <c r="P45" s="6">
        <f>IF(staff1[[#This Row],[Tenure]]&lt;3,2%,IF(staff1[[#This Row],[Tenure]]&lt;5,5%,10%))*staff1[[#This Row],[Salary]]</f>
        <v>1243.9094</v>
      </c>
    </row>
    <row r="46" spans="2:16" x14ac:dyDescent="0.25">
      <c r="B46" t="s">
        <v>160</v>
      </c>
      <c r="C46" t="s">
        <v>161</v>
      </c>
      <c r="D46" t="s">
        <v>162</v>
      </c>
      <c r="E46" t="s">
        <v>35</v>
      </c>
      <c r="F46" t="s">
        <v>64</v>
      </c>
      <c r="G46" s="6">
        <v>72876.91</v>
      </c>
      <c r="H46" t="s">
        <v>18</v>
      </c>
      <c r="I46" s="1">
        <v>43837</v>
      </c>
      <c r="J46">
        <v>1</v>
      </c>
      <c r="K46" t="s">
        <v>19</v>
      </c>
      <c r="L46" t="s">
        <v>38</v>
      </c>
      <c r="M46">
        <v>4.4575342465753423</v>
      </c>
      <c r="N46" t="s">
        <v>27</v>
      </c>
      <c r="O46" s="6">
        <f>staff1[[#This Row],[Salary]]*5%</f>
        <v>3643.8455000000004</v>
      </c>
      <c r="P46" s="6">
        <f>IF(staff1[[#This Row],[Tenure]]&lt;3,2%,IF(staff1[[#This Row],[Tenure]]&lt;5,5%,10%))*staff1[[#This Row],[Salary]]</f>
        <v>3643.8455000000004</v>
      </c>
    </row>
    <row r="47" spans="2:16" x14ac:dyDescent="0.25">
      <c r="B47" t="s">
        <v>163</v>
      </c>
      <c r="C47" t="s">
        <v>164</v>
      </c>
      <c r="D47" t="s">
        <v>165</v>
      </c>
      <c r="E47" t="s">
        <v>35</v>
      </c>
      <c r="F47" t="s">
        <v>49</v>
      </c>
      <c r="G47" s="6">
        <v>66572.58</v>
      </c>
      <c r="H47" t="s">
        <v>18</v>
      </c>
      <c r="I47" s="1">
        <v>44193</v>
      </c>
      <c r="J47">
        <v>1</v>
      </c>
      <c r="K47" t="s">
        <v>19</v>
      </c>
      <c r="L47" t="s">
        <v>72</v>
      </c>
      <c r="M47" s="2">
        <v>3.4821917808219176</v>
      </c>
      <c r="N47" t="s">
        <v>27</v>
      </c>
      <c r="O47" s="6">
        <f>staff1[[#This Row],[Salary]]*5%</f>
        <v>3328.6290000000004</v>
      </c>
      <c r="P47" s="6">
        <f>IF(staff1[[#This Row],[Tenure]]&lt;3,2%,IF(staff1[[#This Row],[Tenure]]&lt;5,5%,10%))*staff1[[#This Row],[Salary]]</f>
        <v>3328.6290000000004</v>
      </c>
    </row>
    <row r="48" spans="2:16" x14ac:dyDescent="0.25">
      <c r="B48" t="s">
        <v>163</v>
      </c>
      <c r="C48" t="s">
        <v>166</v>
      </c>
      <c r="D48" t="s">
        <v>167</v>
      </c>
      <c r="E48" t="s">
        <v>35</v>
      </c>
      <c r="F48" t="s">
        <v>49</v>
      </c>
      <c r="G48" s="6">
        <v>66572.58</v>
      </c>
      <c r="H48" t="s">
        <v>18</v>
      </c>
      <c r="I48" s="1">
        <v>44193</v>
      </c>
      <c r="J48">
        <v>1</v>
      </c>
      <c r="K48" t="s">
        <v>19</v>
      </c>
      <c r="L48" t="s">
        <v>72</v>
      </c>
      <c r="M48" s="2">
        <v>3.4821917808219176</v>
      </c>
      <c r="N48" t="s">
        <v>27</v>
      </c>
      <c r="O48" s="6">
        <f>staff1[[#This Row],[Salary]]*5%</f>
        <v>3328.6290000000004</v>
      </c>
      <c r="P48" s="6">
        <f>IF(staff1[[#This Row],[Tenure]]&lt;3,2%,IF(staff1[[#This Row],[Tenure]]&lt;5,5%,10%))*staff1[[#This Row],[Salary]]</f>
        <v>3328.6290000000004</v>
      </c>
    </row>
    <row r="49" spans="2:16" x14ac:dyDescent="0.25">
      <c r="B49" t="s">
        <v>168</v>
      </c>
      <c r="C49" t="s">
        <v>169</v>
      </c>
      <c r="D49" t="s">
        <v>170</v>
      </c>
      <c r="E49" t="s">
        <v>16</v>
      </c>
      <c r="F49" t="s">
        <v>64</v>
      </c>
      <c r="G49" s="6">
        <v>35943.620000000003</v>
      </c>
      <c r="H49" t="s">
        <v>57</v>
      </c>
      <c r="I49" s="1">
        <v>44078</v>
      </c>
      <c r="J49">
        <v>1</v>
      </c>
      <c r="K49" t="s">
        <v>19</v>
      </c>
      <c r="L49" t="s">
        <v>31</v>
      </c>
      <c r="M49">
        <v>3.7972602739726029</v>
      </c>
      <c r="N49" t="s">
        <v>27</v>
      </c>
      <c r="O49" s="6">
        <f>staff1[[#This Row],[Salary]]*5%</f>
        <v>1797.1810000000003</v>
      </c>
      <c r="P49" s="6">
        <f>IF(staff1[[#This Row],[Tenure]]&lt;3,2%,IF(staff1[[#This Row],[Tenure]]&lt;5,5%,10%))*staff1[[#This Row],[Salary]]</f>
        <v>1797.1810000000003</v>
      </c>
    </row>
    <row r="50" spans="2:16" x14ac:dyDescent="0.25">
      <c r="B50" t="s">
        <v>171</v>
      </c>
      <c r="C50" t="s">
        <v>172</v>
      </c>
      <c r="D50" t="s">
        <v>173</v>
      </c>
      <c r="E50" t="s">
        <v>35</v>
      </c>
      <c r="F50" t="s">
        <v>53</v>
      </c>
      <c r="G50" s="6">
        <v>119022.49</v>
      </c>
      <c r="H50" t="s">
        <v>37</v>
      </c>
      <c r="I50" s="1">
        <v>44431</v>
      </c>
      <c r="J50">
        <v>1</v>
      </c>
      <c r="K50" t="s">
        <v>19</v>
      </c>
      <c r="L50" t="s">
        <v>80</v>
      </c>
      <c r="M50">
        <v>2.8301369863013699</v>
      </c>
      <c r="N50" t="s">
        <v>27</v>
      </c>
      <c r="O50" s="6">
        <f>staff1[[#This Row],[Salary]]*5%</f>
        <v>5951.1245000000008</v>
      </c>
      <c r="P50" s="6">
        <f>IF(staff1[[#This Row],[Tenure]]&lt;3,2%,IF(staff1[[#This Row],[Tenure]]&lt;5,5%,10%))*staff1[[#This Row],[Salary]]</f>
        <v>2380.4498000000003</v>
      </c>
    </row>
    <row r="51" spans="2:16" x14ac:dyDescent="0.25">
      <c r="B51" t="s">
        <v>174</v>
      </c>
      <c r="C51" t="s">
        <v>175</v>
      </c>
      <c r="D51" t="s">
        <v>176</v>
      </c>
      <c r="E51" t="s">
        <v>35</v>
      </c>
      <c r="F51" t="s">
        <v>42</v>
      </c>
      <c r="G51" s="6">
        <v>65699.02</v>
      </c>
      <c r="H51" t="s">
        <v>18</v>
      </c>
      <c r="I51" s="1">
        <v>43951</v>
      </c>
      <c r="J51">
        <v>1</v>
      </c>
      <c r="K51" t="s">
        <v>19</v>
      </c>
      <c r="L51" t="s">
        <v>31</v>
      </c>
      <c r="M51">
        <v>4.1452054794520548</v>
      </c>
      <c r="N51" t="s">
        <v>27</v>
      </c>
      <c r="O51" s="6">
        <f>staff1[[#This Row],[Salary]]*5%</f>
        <v>3284.9510000000005</v>
      </c>
      <c r="P51" s="6">
        <f>IF(staff1[[#This Row],[Tenure]]&lt;3,2%,IF(staff1[[#This Row],[Tenure]]&lt;5,5%,10%))*staff1[[#This Row],[Salary]]</f>
        <v>3284.9510000000005</v>
      </c>
    </row>
    <row r="52" spans="2:16" x14ac:dyDescent="0.25">
      <c r="B52" t="s">
        <v>177</v>
      </c>
      <c r="C52" t="s">
        <v>178</v>
      </c>
      <c r="D52" t="s">
        <v>179</v>
      </c>
      <c r="E52" t="s">
        <v>16</v>
      </c>
      <c r="F52" t="s">
        <v>126</v>
      </c>
      <c r="G52" s="6">
        <v>47551.89</v>
      </c>
      <c r="H52" t="s">
        <v>57</v>
      </c>
      <c r="I52" s="1">
        <v>43468</v>
      </c>
      <c r="J52">
        <v>1</v>
      </c>
      <c r="K52" t="s">
        <v>19</v>
      </c>
      <c r="L52" t="s">
        <v>80</v>
      </c>
      <c r="M52">
        <v>5.4684931506849317</v>
      </c>
      <c r="N52" t="s">
        <v>27</v>
      </c>
      <c r="O52" s="6">
        <f>staff1[[#This Row],[Salary]]*5%</f>
        <v>2377.5945000000002</v>
      </c>
      <c r="P52" s="6">
        <f>IF(staff1[[#This Row],[Tenure]]&lt;3,2%,IF(staff1[[#This Row],[Tenure]]&lt;5,5%,10%))*staff1[[#This Row],[Salary]]</f>
        <v>4755.1890000000003</v>
      </c>
    </row>
    <row r="53" spans="2:16" x14ac:dyDescent="0.25">
      <c r="B53" t="s">
        <v>180</v>
      </c>
      <c r="C53" t="s">
        <v>29</v>
      </c>
      <c r="D53" t="s">
        <v>30</v>
      </c>
      <c r="E53" t="s">
        <v>16</v>
      </c>
      <c r="F53" t="s">
        <v>25</v>
      </c>
      <c r="G53" s="6">
        <v>80695.740000000005</v>
      </c>
      <c r="H53" t="s">
        <v>18</v>
      </c>
      <c r="I53" s="1">
        <v>43787</v>
      </c>
      <c r="J53">
        <v>0.8</v>
      </c>
      <c r="K53" t="s">
        <v>19</v>
      </c>
      <c r="L53" t="s">
        <v>31</v>
      </c>
      <c r="M53">
        <v>4.5945205479452058</v>
      </c>
      <c r="N53" t="s">
        <v>21</v>
      </c>
      <c r="O53" s="6">
        <f>staff1[[#This Row],[Salary]]*5%</f>
        <v>4034.7870000000003</v>
      </c>
      <c r="P53" s="6">
        <f>IF(staff1[[#This Row],[Tenure]]&lt;3,2%,IF(staff1[[#This Row],[Tenure]]&lt;5,5%,10%))*staff1[[#This Row],[Salary]]</f>
        <v>4034.7870000000003</v>
      </c>
    </row>
    <row r="54" spans="2:16" x14ac:dyDescent="0.25">
      <c r="B54" t="s">
        <v>181</v>
      </c>
      <c r="C54" t="s">
        <v>182</v>
      </c>
      <c r="D54" t="s">
        <v>183</v>
      </c>
      <c r="E54" t="s">
        <v>16</v>
      </c>
      <c r="F54" t="s">
        <v>68</v>
      </c>
      <c r="G54" s="6">
        <v>92336.08</v>
      </c>
      <c r="H54" t="s">
        <v>18</v>
      </c>
      <c r="I54" s="1">
        <v>44431</v>
      </c>
      <c r="J54">
        <v>1</v>
      </c>
      <c r="K54" t="s">
        <v>19</v>
      </c>
      <c r="L54" t="s">
        <v>26</v>
      </c>
      <c r="M54">
        <v>2.8301369863013699</v>
      </c>
      <c r="N54" t="s">
        <v>27</v>
      </c>
      <c r="O54" s="6">
        <f>staff1[[#This Row],[Salary]]*5%</f>
        <v>4616.8040000000001</v>
      </c>
      <c r="P54" s="6">
        <f>IF(staff1[[#This Row],[Tenure]]&lt;3,2%,IF(staff1[[#This Row],[Tenure]]&lt;5,5%,10%))*staff1[[#This Row],[Salary]]</f>
        <v>1846.7216000000001</v>
      </c>
    </row>
    <row r="55" spans="2:16" x14ac:dyDescent="0.25">
      <c r="B55" t="s">
        <v>184</v>
      </c>
      <c r="C55" t="s">
        <v>185</v>
      </c>
      <c r="D55" t="s">
        <v>186</v>
      </c>
      <c r="E55" t="s">
        <v>16</v>
      </c>
      <c r="F55" t="s">
        <v>25</v>
      </c>
      <c r="G55" s="6">
        <v>69192.850000000006</v>
      </c>
      <c r="H55" t="s">
        <v>18</v>
      </c>
      <c r="I55" s="1">
        <v>44305</v>
      </c>
      <c r="J55">
        <v>1</v>
      </c>
      <c r="K55" t="s">
        <v>19</v>
      </c>
      <c r="L55" t="s">
        <v>31</v>
      </c>
      <c r="M55">
        <v>3.1753424657534248</v>
      </c>
      <c r="N55" t="s">
        <v>27</v>
      </c>
      <c r="O55" s="6">
        <f>staff1[[#This Row],[Salary]]*5%</f>
        <v>3459.6425000000004</v>
      </c>
      <c r="P55" s="6">
        <f>IF(staff1[[#This Row],[Tenure]]&lt;3,2%,IF(staff1[[#This Row],[Tenure]]&lt;5,5%,10%))*staff1[[#This Row],[Salary]]</f>
        <v>3459.6425000000004</v>
      </c>
    </row>
    <row r="56" spans="2:16" x14ac:dyDescent="0.25">
      <c r="B56" t="s">
        <v>187</v>
      </c>
      <c r="C56" t="s">
        <v>188</v>
      </c>
      <c r="D56" t="s">
        <v>189</v>
      </c>
      <c r="E56" t="s">
        <v>190</v>
      </c>
      <c r="F56" t="s">
        <v>116</v>
      </c>
      <c r="G56" s="6">
        <v>104802.63</v>
      </c>
      <c r="H56" t="s">
        <v>37</v>
      </c>
      <c r="I56" s="1">
        <v>44502</v>
      </c>
      <c r="J56">
        <v>1</v>
      </c>
      <c r="K56" t="s">
        <v>19</v>
      </c>
      <c r="L56" t="s">
        <v>26</v>
      </c>
      <c r="M56">
        <v>2.6356164383561644</v>
      </c>
      <c r="N56" t="s">
        <v>27</v>
      </c>
      <c r="O56" s="6">
        <f>staff1[[#This Row],[Salary]]*5%</f>
        <v>5240.1315000000004</v>
      </c>
      <c r="P56" s="6">
        <f>IF(staff1[[#This Row],[Tenure]]&lt;3,2%,IF(staff1[[#This Row],[Tenure]]&lt;5,5%,10%))*staff1[[#This Row],[Salary]]</f>
        <v>2096.0526</v>
      </c>
    </row>
    <row r="57" spans="2:16" x14ac:dyDescent="0.25">
      <c r="B57" t="s">
        <v>191</v>
      </c>
      <c r="C57" t="s">
        <v>192</v>
      </c>
      <c r="D57" t="s">
        <v>193</v>
      </c>
      <c r="E57" t="s">
        <v>16</v>
      </c>
      <c r="F57" t="s">
        <v>25</v>
      </c>
      <c r="G57" s="6">
        <v>98000</v>
      </c>
      <c r="H57" t="s">
        <v>18</v>
      </c>
      <c r="I57" s="1">
        <v>43710</v>
      </c>
      <c r="J57">
        <v>0.9</v>
      </c>
      <c r="K57" t="s">
        <v>19</v>
      </c>
      <c r="L57" t="s">
        <v>76</v>
      </c>
      <c r="M57">
        <v>4.8054794520547945</v>
      </c>
      <c r="N57" t="s">
        <v>21</v>
      </c>
      <c r="O57" s="6">
        <f>staff1[[#This Row],[Salary]]*5%</f>
        <v>4900</v>
      </c>
      <c r="P57" s="6">
        <f>IF(staff1[[#This Row],[Tenure]]&lt;3,2%,IF(staff1[[#This Row],[Tenure]]&lt;5,5%,10%))*staff1[[#This Row],[Salary]]</f>
        <v>4900</v>
      </c>
    </row>
    <row r="58" spans="2:16" x14ac:dyDescent="0.25">
      <c r="B58" t="s">
        <v>194</v>
      </c>
      <c r="C58" t="s">
        <v>195</v>
      </c>
      <c r="D58" t="s">
        <v>196</v>
      </c>
      <c r="E58" t="s">
        <v>16</v>
      </c>
      <c r="F58" t="s">
        <v>126</v>
      </c>
      <c r="G58" s="6">
        <v>77045.440000000002</v>
      </c>
      <c r="H58" t="s">
        <v>18</v>
      </c>
      <c r="I58" s="1">
        <v>43636</v>
      </c>
      <c r="J58">
        <v>1</v>
      </c>
      <c r="K58" t="s">
        <v>19</v>
      </c>
      <c r="L58" t="s">
        <v>38</v>
      </c>
      <c r="M58">
        <v>5.0082191780821921</v>
      </c>
      <c r="N58" t="s">
        <v>27</v>
      </c>
      <c r="O58" s="6">
        <f>staff1[[#This Row],[Salary]]*5%</f>
        <v>3852.2720000000004</v>
      </c>
      <c r="P58" s="6">
        <f>IF(staff1[[#This Row],[Tenure]]&lt;3,2%,IF(staff1[[#This Row],[Tenure]]&lt;5,5%,10%))*staff1[[#This Row],[Salary]]</f>
        <v>7704.5440000000008</v>
      </c>
    </row>
    <row r="59" spans="2:16" x14ac:dyDescent="0.25">
      <c r="B59" t="s">
        <v>197</v>
      </c>
      <c r="C59" t="s">
        <v>198</v>
      </c>
      <c r="D59" t="s">
        <v>199</v>
      </c>
      <c r="E59" t="s">
        <v>35</v>
      </c>
      <c r="F59" t="s">
        <v>25</v>
      </c>
      <c r="G59" s="6">
        <v>110042.37</v>
      </c>
      <c r="H59" t="s">
        <v>37</v>
      </c>
      <c r="I59" s="1">
        <v>43914</v>
      </c>
      <c r="J59">
        <v>1</v>
      </c>
      <c r="K59" t="s">
        <v>19</v>
      </c>
      <c r="L59" t="s">
        <v>31</v>
      </c>
      <c r="M59">
        <v>4.2465753424657535</v>
      </c>
      <c r="N59" t="s">
        <v>27</v>
      </c>
      <c r="O59" s="6">
        <f>staff1[[#This Row],[Salary]]*5%</f>
        <v>5502.1185000000005</v>
      </c>
      <c r="P59" s="6">
        <f>IF(staff1[[#This Row],[Tenure]]&lt;3,2%,IF(staff1[[#This Row],[Tenure]]&lt;5,5%,10%))*staff1[[#This Row],[Salary]]</f>
        <v>5502.1185000000005</v>
      </c>
    </row>
    <row r="60" spans="2:16" x14ac:dyDescent="0.25">
      <c r="B60" t="s">
        <v>200</v>
      </c>
      <c r="C60" t="s">
        <v>201</v>
      </c>
      <c r="D60" t="s">
        <v>202</v>
      </c>
      <c r="E60" t="s">
        <v>35</v>
      </c>
      <c r="F60" t="s">
        <v>68</v>
      </c>
      <c r="G60" s="6">
        <v>62281.24</v>
      </c>
      <c r="H60" t="s">
        <v>18</v>
      </c>
      <c r="I60" s="1">
        <v>43272</v>
      </c>
      <c r="J60">
        <v>1</v>
      </c>
      <c r="K60" t="s">
        <v>19</v>
      </c>
      <c r="L60" t="s">
        <v>38</v>
      </c>
      <c r="M60">
        <v>6.0054794520547947</v>
      </c>
      <c r="N60" t="s">
        <v>27</v>
      </c>
      <c r="O60" s="6">
        <f>staff1[[#This Row],[Salary]]*5%</f>
        <v>3114.0619999999999</v>
      </c>
      <c r="P60" s="6">
        <f>IF(staff1[[#This Row],[Tenure]]&lt;3,2%,IF(staff1[[#This Row],[Tenure]]&lt;5,5%,10%))*staff1[[#This Row],[Salary]]</f>
        <v>6228.1239999999998</v>
      </c>
    </row>
    <row r="61" spans="2:16" x14ac:dyDescent="0.25">
      <c r="B61" t="s">
        <v>203</v>
      </c>
      <c r="C61" t="s">
        <v>204</v>
      </c>
      <c r="D61" t="s">
        <v>205</v>
      </c>
      <c r="E61" t="s">
        <v>16</v>
      </c>
      <c r="F61" t="s">
        <v>17</v>
      </c>
      <c r="G61" s="6">
        <v>86010.54</v>
      </c>
      <c r="H61" t="s">
        <v>18</v>
      </c>
      <c r="I61" s="1">
        <v>43164</v>
      </c>
      <c r="J61">
        <v>1</v>
      </c>
      <c r="K61" t="s">
        <v>19</v>
      </c>
      <c r="L61" t="s">
        <v>72</v>
      </c>
      <c r="M61">
        <v>6.3013698630136989</v>
      </c>
      <c r="N61" t="s">
        <v>27</v>
      </c>
      <c r="O61" s="6">
        <f>staff1[[#This Row],[Salary]]*5%</f>
        <v>4300.527</v>
      </c>
      <c r="P61" s="6">
        <f>IF(staff1[[#This Row],[Tenure]]&lt;3,2%,IF(staff1[[#This Row],[Tenure]]&lt;5,5%,10%))*staff1[[#This Row],[Salary]]</f>
        <v>8601.0540000000001</v>
      </c>
    </row>
    <row r="62" spans="2:16" x14ac:dyDescent="0.25">
      <c r="B62" t="s">
        <v>206</v>
      </c>
      <c r="C62" t="s">
        <v>207</v>
      </c>
      <c r="D62" t="s">
        <v>208</v>
      </c>
      <c r="E62" t="s">
        <v>35</v>
      </c>
      <c r="F62" t="s">
        <v>36</v>
      </c>
      <c r="G62" s="6">
        <v>118976.16</v>
      </c>
      <c r="H62" t="s">
        <v>37</v>
      </c>
      <c r="I62" s="1">
        <v>44120</v>
      </c>
      <c r="J62">
        <v>1</v>
      </c>
      <c r="K62" t="s">
        <v>19</v>
      </c>
      <c r="L62" t="s">
        <v>20</v>
      </c>
      <c r="M62">
        <v>3.6821917808219178</v>
      </c>
      <c r="N62" t="s">
        <v>27</v>
      </c>
      <c r="O62" s="6">
        <f>staff1[[#This Row],[Salary]]*5%</f>
        <v>5948.8080000000009</v>
      </c>
      <c r="P62" s="6">
        <f>IF(staff1[[#This Row],[Tenure]]&lt;3,2%,IF(staff1[[#This Row],[Tenure]]&lt;5,5%,10%))*staff1[[#This Row],[Salary]]</f>
        <v>5948.8080000000009</v>
      </c>
    </row>
    <row r="63" spans="2:16" x14ac:dyDescent="0.25">
      <c r="B63" t="s">
        <v>209</v>
      </c>
      <c r="C63" t="s">
        <v>210</v>
      </c>
      <c r="D63" t="s">
        <v>211</v>
      </c>
      <c r="E63" t="s">
        <v>16</v>
      </c>
      <c r="F63" t="s">
        <v>87</v>
      </c>
      <c r="G63" s="6">
        <v>71229.42</v>
      </c>
      <c r="H63" t="s">
        <v>18</v>
      </c>
      <c r="I63" s="1">
        <v>44166</v>
      </c>
      <c r="J63">
        <v>1</v>
      </c>
      <c r="K63" t="s">
        <v>19</v>
      </c>
      <c r="L63" t="s">
        <v>26</v>
      </c>
      <c r="M63">
        <v>3.5561643835616437</v>
      </c>
      <c r="N63" t="s">
        <v>27</v>
      </c>
      <c r="O63" s="6">
        <f>staff1[[#This Row],[Salary]]*5%</f>
        <v>3561.471</v>
      </c>
      <c r="P63" s="6">
        <f>IF(staff1[[#This Row],[Tenure]]&lt;3,2%,IF(staff1[[#This Row],[Tenure]]&lt;5,5%,10%))*staff1[[#This Row],[Salary]]</f>
        <v>3561.471</v>
      </c>
    </row>
    <row r="64" spans="2:16" x14ac:dyDescent="0.25">
      <c r="B64" t="s">
        <v>212</v>
      </c>
      <c r="C64" t="s">
        <v>213</v>
      </c>
      <c r="D64" t="s">
        <v>214</v>
      </c>
      <c r="E64" t="s">
        <v>16</v>
      </c>
      <c r="F64" t="s">
        <v>49</v>
      </c>
      <c r="G64" s="6">
        <v>61213.01</v>
      </c>
      <c r="H64" t="s">
        <v>18</v>
      </c>
      <c r="I64" s="1">
        <v>44365</v>
      </c>
      <c r="J64">
        <v>1</v>
      </c>
      <c r="K64" t="s">
        <v>19</v>
      </c>
      <c r="L64" t="s">
        <v>72</v>
      </c>
      <c r="M64" s="2">
        <v>3.010958904109589</v>
      </c>
      <c r="N64" t="s">
        <v>27</v>
      </c>
      <c r="O64" s="6">
        <f>staff1[[#This Row],[Salary]]*5%</f>
        <v>3060.6505000000002</v>
      </c>
      <c r="P64" s="6">
        <f>IF(staff1[[#This Row],[Tenure]]&lt;3,2%,IF(staff1[[#This Row],[Tenure]]&lt;5,5%,10%))*staff1[[#This Row],[Salary]]</f>
        <v>3060.6505000000002</v>
      </c>
    </row>
    <row r="65" spans="2:16" x14ac:dyDescent="0.25">
      <c r="B65" t="s">
        <v>215</v>
      </c>
      <c r="C65" t="s">
        <v>216</v>
      </c>
      <c r="D65" t="s">
        <v>217</v>
      </c>
      <c r="E65" t="s">
        <v>35</v>
      </c>
      <c r="F65" t="s">
        <v>42</v>
      </c>
      <c r="G65" s="6">
        <v>40753.54</v>
      </c>
      <c r="H65" t="s">
        <v>57</v>
      </c>
      <c r="I65" s="1">
        <v>43152</v>
      </c>
      <c r="J65">
        <v>0.6</v>
      </c>
      <c r="K65" t="s">
        <v>19</v>
      </c>
      <c r="L65" t="s">
        <v>20</v>
      </c>
      <c r="M65">
        <v>6.3342465753424655</v>
      </c>
      <c r="N65" t="s">
        <v>21</v>
      </c>
      <c r="O65" s="6">
        <f>staff1[[#This Row],[Salary]]*5%</f>
        <v>2037.6770000000001</v>
      </c>
      <c r="P65" s="6">
        <f>IF(staff1[[#This Row],[Tenure]]&lt;3,2%,IF(staff1[[#This Row],[Tenure]]&lt;5,5%,10%))*staff1[[#This Row],[Salary]]</f>
        <v>4075.3540000000003</v>
      </c>
    </row>
    <row r="66" spans="2:16" x14ac:dyDescent="0.25">
      <c r="B66" t="s">
        <v>218</v>
      </c>
      <c r="C66" t="s">
        <v>124</v>
      </c>
      <c r="D66" t="s">
        <v>125</v>
      </c>
      <c r="E66" t="s">
        <v>16</v>
      </c>
      <c r="F66" t="s">
        <v>126</v>
      </c>
      <c r="G66" s="6">
        <v>41934.71</v>
      </c>
      <c r="H66" t="s">
        <v>57</v>
      </c>
      <c r="I66" s="1">
        <v>43943</v>
      </c>
      <c r="J66">
        <v>1</v>
      </c>
      <c r="K66" t="s">
        <v>19</v>
      </c>
      <c r="L66" t="s">
        <v>38</v>
      </c>
      <c r="M66">
        <v>4.1671232876712327</v>
      </c>
      <c r="N66" t="s">
        <v>27</v>
      </c>
      <c r="O66" s="6">
        <f>staff1[[#This Row],[Salary]]*5%</f>
        <v>2096.7355000000002</v>
      </c>
      <c r="P66" s="6">
        <f>IF(staff1[[#This Row],[Tenure]]&lt;3,2%,IF(staff1[[#This Row],[Tenure]]&lt;5,5%,10%))*staff1[[#This Row],[Salary]]</f>
        <v>2096.7355000000002</v>
      </c>
    </row>
    <row r="67" spans="2:16" x14ac:dyDescent="0.25">
      <c r="B67" t="s">
        <v>219</v>
      </c>
      <c r="C67" t="s">
        <v>220</v>
      </c>
      <c r="D67" t="s">
        <v>221</v>
      </c>
      <c r="E67" t="s">
        <v>16</v>
      </c>
      <c r="F67" t="s">
        <v>49</v>
      </c>
      <c r="G67" s="6">
        <v>111049.84</v>
      </c>
      <c r="H67" t="s">
        <v>37</v>
      </c>
      <c r="I67" s="1">
        <v>44393</v>
      </c>
      <c r="J67">
        <v>1</v>
      </c>
      <c r="K67" t="s">
        <v>19</v>
      </c>
      <c r="L67" t="s">
        <v>20</v>
      </c>
      <c r="M67" s="2">
        <v>2.9342465753424656</v>
      </c>
      <c r="N67" t="s">
        <v>27</v>
      </c>
      <c r="O67" s="6">
        <f>staff1[[#This Row],[Salary]]*5%</f>
        <v>5552.4920000000002</v>
      </c>
      <c r="P67" s="6">
        <f>IF(staff1[[#This Row],[Tenure]]&lt;3,2%,IF(staff1[[#This Row],[Tenure]]&lt;5,5%,10%))*staff1[[#This Row],[Salary]]</f>
        <v>2220.9967999999999</v>
      </c>
    </row>
    <row r="68" spans="2:16" x14ac:dyDescent="0.25">
      <c r="B68" t="s">
        <v>222</v>
      </c>
      <c r="C68" t="s">
        <v>223</v>
      </c>
      <c r="D68" t="s">
        <v>224</v>
      </c>
      <c r="E68" t="s">
        <v>35</v>
      </c>
      <c r="F68" t="s">
        <v>68</v>
      </c>
      <c r="G68" s="6">
        <v>74279.009999999995</v>
      </c>
      <c r="H68" t="s">
        <v>18</v>
      </c>
      <c r="I68" s="1">
        <v>43466</v>
      </c>
      <c r="J68">
        <v>1</v>
      </c>
      <c r="K68" t="s">
        <v>19</v>
      </c>
      <c r="L68" t="s">
        <v>20</v>
      </c>
      <c r="M68">
        <v>5.4739726027397264</v>
      </c>
      <c r="N68" t="s">
        <v>27</v>
      </c>
      <c r="O68" s="6">
        <f>staff1[[#This Row],[Salary]]*5%</f>
        <v>3713.9504999999999</v>
      </c>
      <c r="P68" s="6">
        <f>IF(staff1[[#This Row],[Tenure]]&lt;3,2%,IF(staff1[[#This Row],[Tenure]]&lt;5,5%,10%))*staff1[[#This Row],[Salary]]</f>
        <v>7427.9009999999998</v>
      </c>
    </row>
    <row r="69" spans="2:16" x14ac:dyDescent="0.25">
      <c r="B69" t="s">
        <v>225</v>
      </c>
      <c r="C69" t="s">
        <v>226</v>
      </c>
      <c r="D69" t="s">
        <v>227</v>
      </c>
      <c r="E69" t="s">
        <v>35</v>
      </c>
      <c r="F69" t="s">
        <v>116</v>
      </c>
      <c r="G69" s="6">
        <v>54137.05</v>
      </c>
      <c r="H69" t="s">
        <v>18</v>
      </c>
      <c r="I69" s="1">
        <v>43763</v>
      </c>
      <c r="J69">
        <v>1</v>
      </c>
      <c r="K69" t="s">
        <v>19</v>
      </c>
      <c r="L69" t="s">
        <v>38</v>
      </c>
      <c r="M69">
        <v>4.6602739726027398</v>
      </c>
      <c r="N69" t="s">
        <v>27</v>
      </c>
      <c r="O69" s="6">
        <f>staff1[[#This Row],[Salary]]*5%</f>
        <v>2706.8525000000004</v>
      </c>
      <c r="P69" s="6">
        <f>IF(staff1[[#This Row],[Tenure]]&lt;3,2%,IF(staff1[[#This Row],[Tenure]]&lt;5,5%,10%))*staff1[[#This Row],[Salary]]</f>
        <v>2706.8525000000004</v>
      </c>
    </row>
    <row r="70" spans="2:16" x14ac:dyDescent="0.25">
      <c r="B70" t="s">
        <v>228</v>
      </c>
      <c r="C70" t="s">
        <v>229</v>
      </c>
      <c r="D70" t="s">
        <v>230</v>
      </c>
      <c r="E70" t="s">
        <v>16</v>
      </c>
      <c r="F70" t="s">
        <v>87</v>
      </c>
      <c r="G70" s="6">
        <v>89690.38</v>
      </c>
      <c r="H70" t="s">
        <v>18</v>
      </c>
      <c r="I70" s="1">
        <v>43213</v>
      </c>
      <c r="J70">
        <v>1</v>
      </c>
      <c r="K70" t="s">
        <v>19</v>
      </c>
      <c r="L70" t="s">
        <v>26</v>
      </c>
      <c r="M70">
        <v>6.1671232876712327</v>
      </c>
      <c r="N70" t="s">
        <v>27</v>
      </c>
      <c r="O70" s="6">
        <f>staff1[[#This Row],[Salary]]*5%</f>
        <v>4484.5190000000002</v>
      </c>
      <c r="P70" s="6">
        <f>IF(staff1[[#This Row],[Tenure]]&lt;3,2%,IF(staff1[[#This Row],[Tenure]]&lt;5,5%,10%))*staff1[[#This Row],[Salary]]</f>
        <v>8969.0380000000005</v>
      </c>
    </row>
    <row r="71" spans="2:16" x14ac:dyDescent="0.25">
      <c r="B71" t="s">
        <v>231</v>
      </c>
      <c r="C71" t="s">
        <v>232</v>
      </c>
      <c r="D71" t="s">
        <v>233</v>
      </c>
      <c r="E71" t="s">
        <v>16</v>
      </c>
      <c r="F71" t="s">
        <v>94</v>
      </c>
      <c r="G71" s="6">
        <v>38438.239999999998</v>
      </c>
      <c r="H71" t="s">
        <v>57</v>
      </c>
      <c r="I71" s="1">
        <v>43962</v>
      </c>
      <c r="J71">
        <v>1</v>
      </c>
      <c r="K71" t="s">
        <v>19</v>
      </c>
      <c r="L71" t="s">
        <v>72</v>
      </c>
      <c r="M71">
        <v>4.1150684931506847</v>
      </c>
      <c r="N71" t="s">
        <v>27</v>
      </c>
      <c r="O71" s="6">
        <f>staff1[[#This Row],[Salary]]*5%</f>
        <v>1921.912</v>
      </c>
      <c r="P71" s="6">
        <f>IF(staff1[[#This Row],[Tenure]]&lt;3,2%,IF(staff1[[#This Row],[Tenure]]&lt;5,5%,10%))*staff1[[#This Row],[Salary]]</f>
        <v>1921.912</v>
      </c>
    </row>
    <row r="72" spans="2:16" x14ac:dyDescent="0.25">
      <c r="B72" t="s">
        <v>231</v>
      </c>
      <c r="C72" t="s">
        <v>234</v>
      </c>
      <c r="D72" t="s">
        <v>235</v>
      </c>
      <c r="E72" t="s">
        <v>16</v>
      </c>
      <c r="F72" t="s">
        <v>94</v>
      </c>
      <c r="G72" s="6">
        <v>38438.239999999998</v>
      </c>
      <c r="H72" t="s">
        <v>57</v>
      </c>
      <c r="I72" s="1">
        <v>43962</v>
      </c>
      <c r="J72">
        <v>1</v>
      </c>
      <c r="K72" t="s">
        <v>19</v>
      </c>
      <c r="L72" t="s">
        <v>72</v>
      </c>
      <c r="M72">
        <v>4.1150684931506847</v>
      </c>
      <c r="N72" t="s">
        <v>27</v>
      </c>
      <c r="O72" s="6">
        <f>staff1[[#This Row],[Salary]]*5%</f>
        <v>1921.912</v>
      </c>
      <c r="P72" s="6">
        <f>IF(staff1[[#This Row],[Tenure]]&lt;3,2%,IF(staff1[[#This Row],[Tenure]]&lt;5,5%,10%))*staff1[[#This Row],[Salary]]</f>
        <v>1921.912</v>
      </c>
    </row>
    <row r="73" spans="2:16" x14ac:dyDescent="0.25">
      <c r="B73" t="s">
        <v>236</v>
      </c>
      <c r="C73" t="s">
        <v>237</v>
      </c>
      <c r="D73" t="s">
        <v>238</v>
      </c>
      <c r="E73" t="s">
        <v>16</v>
      </c>
      <c r="F73" t="s">
        <v>68</v>
      </c>
      <c r="G73" s="6">
        <v>44447.26</v>
      </c>
      <c r="H73" t="s">
        <v>57</v>
      </c>
      <c r="I73" s="1">
        <v>43846</v>
      </c>
      <c r="J73">
        <v>0.4</v>
      </c>
      <c r="K73" t="s">
        <v>19</v>
      </c>
      <c r="L73" t="s">
        <v>76</v>
      </c>
      <c r="M73">
        <v>4.4328767123287669</v>
      </c>
      <c r="N73" t="s">
        <v>21</v>
      </c>
      <c r="O73" s="6">
        <f>staff1[[#This Row],[Salary]]*5%</f>
        <v>2222.3630000000003</v>
      </c>
      <c r="P73" s="6">
        <f>IF(staff1[[#This Row],[Tenure]]&lt;3,2%,IF(staff1[[#This Row],[Tenure]]&lt;5,5%,10%))*staff1[[#This Row],[Salary]]</f>
        <v>2222.3630000000003</v>
      </c>
    </row>
    <row r="74" spans="2:16" x14ac:dyDescent="0.25">
      <c r="B74" t="s">
        <v>239</v>
      </c>
      <c r="C74" t="s">
        <v>240</v>
      </c>
      <c r="D74" t="s">
        <v>241</v>
      </c>
      <c r="E74" t="s">
        <v>35</v>
      </c>
      <c r="F74" t="s">
        <v>94</v>
      </c>
      <c r="G74" s="6">
        <v>74924.649999999994</v>
      </c>
      <c r="H74" t="s">
        <v>18</v>
      </c>
      <c r="I74" s="1">
        <v>44239</v>
      </c>
      <c r="J74">
        <v>1</v>
      </c>
      <c r="K74" t="s">
        <v>19</v>
      </c>
      <c r="L74" t="s">
        <v>26</v>
      </c>
      <c r="M74">
        <v>3.3561643835616439</v>
      </c>
      <c r="N74" t="s">
        <v>27</v>
      </c>
      <c r="O74" s="6">
        <f>staff1[[#This Row],[Salary]]*5%</f>
        <v>3746.2325000000001</v>
      </c>
      <c r="P74" s="6">
        <f>IF(staff1[[#This Row],[Tenure]]&lt;3,2%,IF(staff1[[#This Row],[Tenure]]&lt;5,5%,10%))*staff1[[#This Row],[Salary]]</f>
        <v>3746.2325000000001</v>
      </c>
    </row>
    <row r="75" spans="2:16" x14ac:dyDescent="0.25">
      <c r="B75" t="s">
        <v>242</v>
      </c>
      <c r="C75" t="s">
        <v>243</v>
      </c>
      <c r="D75" t="s">
        <v>244</v>
      </c>
      <c r="E75" t="s">
        <v>35</v>
      </c>
      <c r="F75" t="s">
        <v>64</v>
      </c>
      <c r="G75" s="6">
        <v>86556.96</v>
      </c>
      <c r="H75" t="s">
        <v>18</v>
      </c>
      <c r="I75" s="1">
        <v>44104</v>
      </c>
      <c r="J75">
        <v>1</v>
      </c>
      <c r="K75" t="s">
        <v>19</v>
      </c>
      <c r="L75" t="s">
        <v>26</v>
      </c>
      <c r="M75">
        <v>3.7260273972602738</v>
      </c>
      <c r="N75" t="s">
        <v>27</v>
      </c>
      <c r="O75" s="6">
        <f>staff1[[#This Row],[Salary]]*5%</f>
        <v>4327.8480000000009</v>
      </c>
      <c r="P75" s="6">
        <f>IF(staff1[[#This Row],[Tenure]]&lt;3,2%,IF(staff1[[#This Row],[Tenure]]&lt;5,5%,10%))*staff1[[#This Row],[Salary]]</f>
        <v>4327.8480000000009</v>
      </c>
    </row>
    <row r="76" spans="2:16" x14ac:dyDescent="0.25">
      <c r="B76" t="s">
        <v>245</v>
      </c>
      <c r="C76" t="s">
        <v>246</v>
      </c>
      <c r="D76" t="s">
        <v>247</v>
      </c>
      <c r="E76" t="s">
        <v>16</v>
      </c>
      <c r="F76" t="s">
        <v>42</v>
      </c>
      <c r="G76" s="6">
        <v>68008.55</v>
      </c>
      <c r="H76" t="s">
        <v>18</v>
      </c>
      <c r="I76" s="1">
        <v>44062</v>
      </c>
      <c r="J76">
        <v>1</v>
      </c>
      <c r="K76" t="s">
        <v>19</v>
      </c>
      <c r="L76" t="s">
        <v>80</v>
      </c>
      <c r="M76">
        <v>3.8410958904109589</v>
      </c>
      <c r="N76" t="s">
        <v>27</v>
      </c>
      <c r="O76" s="6">
        <f>staff1[[#This Row],[Salary]]*5%</f>
        <v>3400.4275000000002</v>
      </c>
      <c r="P76" s="6">
        <f>IF(staff1[[#This Row],[Tenure]]&lt;3,2%,IF(staff1[[#This Row],[Tenure]]&lt;5,5%,10%))*staff1[[#This Row],[Salary]]</f>
        <v>3400.4275000000002</v>
      </c>
    </row>
    <row r="77" spans="2:16" x14ac:dyDescent="0.25">
      <c r="B77" t="s">
        <v>248</v>
      </c>
      <c r="C77" t="s">
        <v>249</v>
      </c>
      <c r="D77" t="s">
        <v>250</v>
      </c>
      <c r="E77" t="s">
        <v>35</v>
      </c>
      <c r="F77" t="s">
        <v>49</v>
      </c>
      <c r="G77" s="6">
        <v>90697.67</v>
      </c>
      <c r="H77" t="s">
        <v>18</v>
      </c>
      <c r="I77" s="1">
        <v>44221</v>
      </c>
      <c r="J77">
        <v>0.8</v>
      </c>
      <c r="K77" t="s">
        <v>19</v>
      </c>
      <c r="L77" t="s">
        <v>76</v>
      </c>
      <c r="M77" s="2">
        <v>3.4054794520547946</v>
      </c>
      <c r="N77" t="s">
        <v>21</v>
      </c>
      <c r="O77" s="6">
        <f>staff1[[#This Row],[Salary]]*5%</f>
        <v>4534.8834999999999</v>
      </c>
      <c r="P77" s="6">
        <f>IF(staff1[[#This Row],[Tenure]]&lt;3,2%,IF(staff1[[#This Row],[Tenure]]&lt;5,5%,10%))*staff1[[#This Row],[Salary]]</f>
        <v>4534.8834999999999</v>
      </c>
    </row>
    <row r="78" spans="2:16" x14ac:dyDescent="0.25">
      <c r="B78" t="s">
        <v>251</v>
      </c>
      <c r="C78" t="s">
        <v>252</v>
      </c>
      <c r="D78" t="s">
        <v>253</v>
      </c>
      <c r="E78" t="s">
        <v>16</v>
      </c>
      <c r="F78" t="s">
        <v>36</v>
      </c>
      <c r="G78" s="6">
        <v>44403.77</v>
      </c>
      <c r="H78" t="s">
        <v>57</v>
      </c>
      <c r="I78" s="1">
        <v>43416</v>
      </c>
      <c r="J78">
        <v>1</v>
      </c>
      <c r="K78" t="s">
        <v>19</v>
      </c>
      <c r="L78" t="s">
        <v>26</v>
      </c>
      <c r="M78">
        <v>5.6109589041095891</v>
      </c>
      <c r="N78" t="s">
        <v>27</v>
      </c>
      <c r="O78" s="6">
        <f>staff1[[#This Row],[Salary]]*5%</f>
        <v>2220.1884999999997</v>
      </c>
      <c r="P78" s="6">
        <f>IF(staff1[[#This Row],[Tenure]]&lt;3,2%,IF(staff1[[#This Row],[Tenure]]&lt;5,5%,10%))*staff1[[#This Row],[Salary]]</f>
        <v>4440.3769999999995</v>
      </c>
    </row>
    <row r="79" spans="2:16" x14ac:dyDescent="0.25">
      <c r="B79" t="s">
        <v>254</v>
      </c>
      <c r="C79" t="s">
        <v>255</v>
      </c>
      <c r="D79" t="s">
        <v>256</v>
      </c>
      <c r="E79" t="s">
        <v>35</v>
      </c>
      <c r="F79" t="s">
        <v>53</v>
      </c>
      <c r="G79" s="6">
        <v>49915.14</v>
      </c>
      <c r="H79" t="s">
        <v>57</v>
      </c>
      <c r="I79" s="1">
        <v>43550</v>
      </c>
      <c r="J79">
        <v>1</v>
      </c>
      <c r="K79" t="s">
        <v>19</v>
      </c>
      <c r="L79" t="s">
        <v>38</v>
      </c>
      <c r="M79">
        <v>5.2438356164383562</v>
      </c>
      <c r="N79" t="s">
        <v>27</v>
      </c>
      <c r="O79" s="6">
        <f>staff1[[#This Row],[Salary]]*5%</f>
        <v>2495.7570000000001</v>
      </c>
      <c r="P79" s="6">
        <f>IF(staff1[[#This Row],[Tenure]]&lt;3,2%,IF(staff1[[#This Row],[Tenure]]&lt;5,5%,10%))*staff1[[#This Row],[Salary]]</f>
        <v>4991.5140000000001</v>
      </c>
    </row>
    <row r="80" spans="2:16" x14ac:dyDescent="0.25">
      <c r="B80" t="s">
        <v>257</v>
      </c>
      <c r="C80" t="s">
        <v>258</v>
      </c>
      <c r="D80" t="s">
        <v>259</v>
      </c>
      <c r="E80" t="s">
        <v>35</v>
      </c>
      <c r="F80" t="s">
        <v>49</v>
      </c>
      <c r="G80" s="6">
        <v>113616.23</v>
      </c>
      <c r="H80" t="s">
        <v>37</v>
      </c>
      <c r="I80" s="1">
        <v>43255</v>
      </c>
      <c r="J80">
        <v>1</v>
      </c>
      <c r="K80" t="s">
        <v>19</v>
      </c>
      <c r="L80" t="s">
        <v>38</v>
      </c>
      <c r="M80" s="2">
        <v>6.0520547945205481</v>
      </c>
      <c r="N80" t="s">
        <v>27</v>
      </c>
      <c r="O80" s="6">
        <f>staff1[[#This Row],[Salary]]*5%</f>
        <v>5680.8114999999998</v>
      </c>
      <c r="P80" s="6">
        <f>IF(staff1[[#This Row],[Tenure]]&lt;3,2%,IF(staff1[[#This Row],[Tenure]]&lt;5,5%,10%))*staff1[[#This Row],[Salary]]</f>
        <v>11361.623</v>
      </c>
    </row>
    <row r="81" spans="2:16" x14ac:dyDescent="0.25">
      <c r="B81" t="s">
        <v>260</v>
      </c>
      <c r="C81" t="s">
        <v>261</v>
      </c>
      <c r="D81" t="s">
        <v>262</v>
      </c>
      <c r="E81" t="s">
        <v>35</v>
      </c>
      <c r="F81" t="s">
        <v>126</v>
      </c>
      <c r="G81" s="6">
        <v>68860.399999999994</v>
      </c>
      <c r="H81" t="s">
        <v>18</v>
      </c>
      <c r="I81" s="1">
        <v>43508</v>
      </c>
      <c r="J81">
        <v>0.4</v>
      </c>
      <c r="K81" t="s">
        <v>19</v>
      </c>
      <c r="L81" t="s">
        <v>31</v>
      </c>
      <c r="M81">
        <v>5.3589041095890408</v>
      </c>
      <c r="N81" t="s">
        <v>21</v>
      </c>
      <c r="O81" s="6">
        <f>staff1[[#This Row],[Salary]]*5%</f>
        <v>3443.02</v>
      </c>
      <c r="P81" s="6">
        <f>IF(staff1[[#This Row],[Tenure]]&lt;3,2%,IF(staff1[[#This Row],[Tenure]]&lt;5,5%,10%))*staff1[[#This Row],[Salary]]</f>
        <v>6886.04</v>
      </c>
    </row>
    <row r="82" spans="2:16" x14ac:dyDescent="0.25">
      <c r="B82" t="s">
        <v>263</v>
      </c>
      <c r="C82" t="s">
        <v>264</v>
      </c>
      <c r="D82" t="s">
        <v>265</v>
      </c>
      <c r="E82" t="s">
        <v>35</v>
      </c>
      <c r="F82" t="s">
        <v>25</v>
      </c>
      <c r="G82" s="6">
        <v>71371.37</v>
      </c>
      <c r="H82" t="s">
        <v>18</v>
      </c>
      <c r="I82" s="1">
        <v>43392</v>
      </c>
      <c r="J82">
        <v>1</v>
      </c>
      <c r="K82" t="s">
        <v>19</v>
      </c>
      <c r="L82" t="s">
        <v>26</v>
      </c>
      <c r="M82">
        <v>5.6767123287671231</v>
      </c>
      <c r="N82" t="s">
        <v>27</v>
      </c>
      <c r="O82" s="6">
        <f>staff1[[#This Row],[Salary]]*5%</f>
        <v>3568.5684999999999</v>
      </c>
      <c r="P82" s="6">
        <f>IF(staff1[[#This Row],[Tenure]]&lt;3,2%,IF(staff1[[#This Row],[Tenure]]&lt;5,5%,10%))*staff1[[#This Row],[Salary]]</f>
        <v>7137.1369999999997</v>
      </c>
    </row>
    <row r="83" spans="2:16" x14ac:dyDescent="0.25">
      <c r="B83" t="s">
        <v>266</v>
      </c>
      <c r="C83" t="s">
        <v>267</v>
      </c>
      <c r="D83" t="s">
        <v>268</v>
      </c>
      <c r="E83" t="s">
        <v>16</v>
      </c>
      <c r="F83" t="s">
        <v>87</v>
      </c>
      <c r="G83" s="6">
        <v>32269.91</v>
      </c>
      <c r="H83" t="s">
        <v>57</v>
      </c>
      <c r="I83" s="1">
        <v>43346</v>
      </c>
      <c r="J83">
        <v>1</v>
      </c>
      <c r="K83" t="s">
        <v>19</v>
      </c>
      <c r="L83" t="s">
        <v>38</v>
      </c>
      <c r="M83">
        <v>5.8027397260273972</v>
      </c>
      <c r="N83" t="s">
        <v>27</v>
      </c>
      <c r="O83" s="6">
        <f>staff1[[#This Row],[Salary]]*5%</f>
        <v>1613.4955</v>
      </c>
      <c r="P83" s="6">
        <f>IF(staff1[[#This Row],[Tenure]]&lt;3,2%,IF(staff1[[#This Row],[Tenure]]&lt;5,5%,10%))*staff1[[#This Row],[Salary]]</f>
        <v>3226.991</v>
      </c>
    </row>
    <row r="84" spans="2:16" x14ac:dyDescent="0.25">
      <c r="B84" t="s">
        <v>269</v>
      </c>
      <c r="C84" t="s">
        <v>270</v>
      </c>
      <c r="D84" t="s">
        <v>271</v>
      </c>
      <c r="E84" t="s">
        <v>35</v>
      </c>
      <c r="F84" t="s">
        <v>94</v>
      </c>
      <c r="G84" s="6">
        <v>31241.24</v>
      </c>
      <c r="H84" t="s">
        <v>57</v>
      </c>
      <c r="I84" s="1">
        <v>43725</v>
      </c>
      <c r="J84">
        <v>1</v>
      </c>
      <c r="K84" t="s">
        <v>19</v>
      </c>
      <c r="L84" t="s">
        <v>38</v>
      </c>
      <c r="M84">
        <v>4.7643835616438359</v>
      </c>
      <c r="N84" t="s">
        <v>27</v>
      </c>
      <c r="O84" s="6">
        <f>staff1[[#This Row],[Salary]]*5%</f>
        <v>1562.0620000000001</v>
      </c>
      <c r="P84" s="6">
        <f>IF(staff1[[#This Row],[Tenure]]&lt;3,2%,IF(staff1[[#This Row],[Tenure]]&lt;5,5%,10%))*staff1[[#This Row],[Salary]]</f>
        <v>1562.0620000000001</v>
      </c>
    </row>
    <row r="85" spans="2:16" x14ac:dyDescent="0.25">
      <c r="B85" t="s">
        <v>272</v>
      </c>
      <c r="C85" t="s">
        <v>273</v>
      </c>
      <c r="D85" t="s">
        <v>274</v>
      </c>
      <c r="E85" t="s">
        <v>16</v>
      </c>
      <c r="F85" t="s">
        <v>42</v>
      </c>
      <c r="G85" s="6">
        <v>66017.179999999993</v>
      </c>
      <c r="H85" t="s">
        <v>18</v>
      </c>
      <c r="I85" s="1">
        <v>43643</v>
      </c>
      <c r="J85">
        <v>0.9</v>
      </c>
      <c r="K85" t="s">
        <v>19</v>
      </c>
      <c r="L85" t="s">
        <v>38</v>
      </c>
      <c r="M85">
        <v>4.9890410958904106</v>
      </c>
      <c r="N85" t="s">
        <v>21</v>
      </c>
      <c r="O85" s="6">
        <f>staff1[[#This Row],[Salary]]*5%</f>
        <v>3300.8589999999999</v>
      </c>
      <c r="P85" s="6">
        <f>IF(staff1[[#This Row],[Tenure]]&lt;3,2%,IF(staff1[[#This Row],[Tenure]]&lt;5,5%,10%))*staff1[[#This Row],[Salary]]</f>
        <v>3300.8589999999999</v>
      </c>
    </row>
    <row r="86" spans="2:16" x14ac:dyDescent="0.25">
      <c r="B86" t="s">
        <v>275</v>
      </c>
      <c r="C86" t="s">
        <v>276</v>
      </c>
      <c r="D86" t="s">
        <v>277</v>
      </c>
      <c r="E86" t="s">
        <v>35</v>
      </c>
      <c r="F86" t="s">
        <v>94</v>
      </c>
      <c r="G86" s="6">
        <v>40445.29</v>
      </c>
      <c r="H86" t="s">
        <v>57</v>
      </c>
      <c r="I86" s="1">
        <v>44393</v>
      </c>
      <c r="J86">
        <v>1</v>
      </c>
      <c r="K86" t="s">
        <v>19</v>
      </c>
      <c r="L86" t="s">
        <v>72</v>
      </c>
      <c r="M86">
        <v>2.9342465753424656</v>
      </c>
      <c r="N86" t="s">
        <v>27</v>
      </c>
      <c r="O86" s="6">
        <f>staff1[[#This Row],[Salary]]*5%</f>
        <v>2022.2645000000002</v>
      </c>
      <c r="P86" s="6">
        <f>IF(staff1[[#This Row],[Tenure]]&lt;3,2%,IF(staff1[[#This Row],[Tenure]]&lt;5,5%,10%))*staff1[[#This Row],[Salary]]</f>
        <v>808.9058</v>
      </c>
    </row>
    <row r="87" spans="2:16" x14ac:dyDescent="0.25">
      <c r="B87" t="s">
        <v>275</v>
      </c>
      <c r="C87" t="s">
        <v>278</v>
      </c>
      <c r="D87" t="s">
        <v>279</v>
      </c>
      <c r="E87" t="s">
        <v>35</v>
      </c>
      <c r="F87" t="s">
        <v>94</v>
      </c>
      <c r="G87" s="6">
        <v>40445.29</v>
      </c>
      <c r="H87" t="s">
        <v>57</v>
      </c>
      <c r="I87" s="1">
        <v>44393</v>
      </c>
      <c r="J87">
        <v>1</v>
      </c>
      <c r="K87" t="s">
        <v>19</v>
      </c>
      <c r="L87" t="s">
        <v>72</v>
      </c>
      <c r="M87">
        <v>2.9342465753424656</v>
      </c>
      <c r="N87" t="s">
        <v>27</v>
      </c>
      <c r="O87" s="6">
        <f>staff1[[#This Row],[Salary]]*5%</f>
        <v>2022.2645000000002</v>
      </c>
      <c r="P87" s="6">
        <f>IF(staff1[[#This Row],[Tenure]]&lt;3,2%,IF(staff1[[#This Row],[Tenure]]&lt;5,5%,10%))*staff1[[#This Row],[Salary]]</f>
        <v>808.9058</v>
      </c>
    </row>
    <row r="88" spans="2:16" x14ac:dyDescent="0.25">
      <c r="B88" t="s">
        <v>280</v>
      </c>
      <c r="C88" t="s">
        <v>281</v>
      </c>
      <c r="D88" t="s">
        <v>282</v>
      </c>
      <c r="E88" t="s">
        <v>35</v>
      </c>
      <c r="F88" t="s">
        <v>64</v>
      </c>
      <c r="G88" s="6">
        <v>103494.94</v>
      </c>
      <c r="H88" t="s">
        <v>37</v>
      </c>
      <c r="I88" s="1">
        <v>43256</v>
      </c>
      <c r="J88">
        <v>1</v>
      </c>
      <c r="K88" t="s">
        <v>19</v>
      </c>
      <c r="L88" t="s">
        <v>38</v>
      </c>
      <c r="M88">
        <v>6.0493150684931507</v>
      </c>
      <c r="N88" t="s">
        <v>27</v>
      </c>
      <c r="O88" s="6">
        <f>staff1[[#This Row],[Salary]]*5%</f>
        <v>5174.7470000000003</v>
      </c>
      <c r="P88" s="6">
        <f>IF(staff1[[#This Row],[Tenure]]&lt;3,2%,IF(staff1[[#This Row],[Tenure]]&lt;5,5%,10%))*staff1[[#This Row],[Salary]]</f>
        <v>10349.494000000001</v>
      </c>
    </row>
    <row r="89" spans="2:16" x14ac:dyDescent="0.25">
      <c r="B89" t="s">
        <v>280</v>
      </c>
      <c r="C89" t="s">
        <v>281</v>
      </c>
      <c r="D89" t="s">
        <v>282</v>
      </c>
      <c r="E89" t="s">
        <v>35</v>
      </c>
      <c r="F89" t="s">
        <v>64</v>
      </c>
      <c r="G89" s="6">
        <v>103494.94</v>
      </c>
      <c r="H89" t="s">
        <v>37</v>
      </c>
      <c r="I89" s="1">
        <v>43256</v>
      </c>
      <c r="J89">
        <v>1</v>
      </c>
      <c r="K89" t="s">
        <v>19</v>
      </c>
      <c r="L89" t="s">
        <v>38</v>
      </c>
      <c r="M89">
        <v>6.0493150684931507</v>
      </c>
      <c r="N89" t="s">
        <v>27</v>
      </c>
      <c r="O89" s="6">
        <f>staff1[[#This Row],[Salary]]*5%</f>
        <v>5174.7470000000003</v>
      </c>
      <c r="P89" s="6">
        <f>IF(staff1[[#This Row],[Tenure]]&lt;3,2%,IF(staff1[[#This Row],[Tenure]]&lt;5,5%,10%))*staff1[[#This Row],[Salary]]</f>
        <v>10349.494000000001</v>
      </c>
    </row>
    <row r="90" spans="2:16" x14ac:dyDescent="0.25">
      <c r="B90" t="s">
        <v>283</v>
      </c>
      <c r="C90" t="s">
        <v>284</v>
      </c>
      <c r="D90" t="s">
        <v>285</v>
      </c>
      <c r="E90" t="s">
        <v>16</v>
      </c>
      <c r="F90" t="s">
        <v>36</v>
      </c>
      <c r="G90" s="6">
        <v>118442.54</v>
      </c>
      <c r="H90" t="s">
        <v>37</v>
      </c>
      <c r="I90" s="1">
        <v>44193</v>
      </c>
      <c r="J90">
        <v>1</v>
      </c>
      <c r="K90" t="s">
        <v>19</v>
      </c>
      <c r="L90" t="s">
        <v>80</v>
      </c>
      <c r="M90">
        <v>3.4821917808219176</v>
      </c>
      <c r="N90" t="s">
        <v>27</v>
      </c>
      <c r="O90" s="6">
        <f>staff1[[#This Row],[Salary]]*5%</f>
        <v>5922.1270000000004</v>
      </c>
      <c r="P90" s="6">
        <f>IF(staff1[[#This Row],[Tenure]]&lt;3,2%,IF(staff1[[#This Row],[Tenure]]&lt;5,5%,10%))*staff1[[#This Row],[Salary]]</f>
        <v>5922.1270000000004</v>
      </c>
    </row>
    <row r="91" spans="2:16" x14ac:dyDescent="0.25">
      <c r="B91" t="s">
        <v>286</v>
      </c>
      <c r="C91" t="s">
        <v>287</v>
      </c>
      <c r="D91" t="s">
        <v>288</v>
      </c>
      <c r="E91" t="s">
        <v>16</v>
      </c>
      <c r="F91" t="s">
        <v>53</v>
      </c>
      <c r="G91" s="6">
        <v>44845.33</v>
      </c>
      <c r="H91" t="s">
        <v>57</v>
      </c>
      <c r="I91" s="1">
        <v>43277</v>
      </c>
      <c r="J91">
        <v>1</v>
      </c>
      <c r="K91" t="s">
        <v>19</v>
      </c>
      <c r="L91" t="s">
        <v>76</v>
      </c>
      <c r="M91">
        <v>5.9917808219178079</v>
      </c>
      <c r="N91" t="s">
        <v>27</v>
      </c>
      <c r="O91" s="6">
        <f>staff1[[#This Row],[Salary]]*5%</f>
        <v>2242.2665000000002</v>
      </c>
      <c r="P91" s="6">
        <f>IF(staff1[[#This Row],[Tenure]]&lt;3,2%,IF(staff1[[#This Row],[Tenure]]&lt;5,5%,10%))*staff1[[#This Row],[Salary]]</f>
        <v>4484.5330000000004</v>
      </c>
    </row>
    <row r="92" spans="2:16" x14ac:dyDescent="0.25">
      <c r="B92" t="s">
        <v>289</v>
      </c>
      <c r="C92" t="s">
        <v>290</v>
      </c>
      <c r="D92" t="s">
        <v>291</v>
      </c>
      <c r="E92" t="s">
        <v>35</v>
      </c>
      <c r="F92" t="s">
        <v>68</v>
      </c>
      <c r="G92" s="6">
        <v>85455.53</v>
      </c>
      <c r="H92" t="s">
        <v>18</v>
      </c>
      <c r="I92" s="1">
        <v>43839</v>
      </c>
      <c r="J92">
        <v>1</v>
      </c>
      <c r="K92" t="s">
        <v>19</v>
      </c>
      <c r="L92" t="s">
        <v>20</v>
      </c>
      <c r="M92">
        <v>4.4520547945205475</v>
      </c>
      <c r="N92" t="s">
        <v>27</v>
      </c>
      <c r="O92" s="6">
        <f>staff1[[#This Row],[Salary]]*5%</f>
        <v>4272.7764999999999</v>
      </c>
      <c r="P92" s="6">
        <f>IF(staff1[[#This Row],[Tenure]]&lt;3,2%,IF(staff1[[#This Row],[Tenure]]&lt;5,5%,10%))*staff1[[#This Row],[Salary]]</f>
        <v>4272.7764999999999</v>
      </c>
    </row>
    <row r="93" spans="2:16" x14ac:dyDescent="0.25">
      <c r="B93" t="s">
        <v>292</v>
      </c>
      <c r="C93" t="s">
        <v>293</v>
      </c>
      <c r="D93" t="s">
        <v>294</v>
      </c>
      <c r="E93" t="s">
        <v>35</v>
      </c>
      <c r="F93" t="s">
        <v>64</v>
      </c>
      <c r="G93" s="6">
        <v>69862.38</v>
      </c>
      <c r="H93" t="s">
        <v>18</v>
      </c>
      <c r="I93" s="1">
        <v>43458</v>
      </c>
      <c r="J93">
        <v>1</v>
      </c>
      <c r="K93" t="s">
        <v>19</v>
      </c>
      <c r="L93" t="s">
        <v>20</v>
      </c>
      <c r="M93">
        <v>5.4958904109589044</v>
      </c>
      <c r="N93" t="s">
        <v>27</v>
      </c>
      <c r="O93" s="6">
        <f>staff1[[#This Row],[Salary]]*5%</f>
        <v>3493.1190000000006</v>
      </c>
      <c r="P93" s="6">
        <f>IF(staff1[[#This Row],[Tenure]]&lt;3,2%,IF(staff1[[#This Row],[Tenure]]&lt;5,5%,10%))*staff1[[#This Row],[Salary]]</f>
        <v>6986.2380000000012</v>
      </c>
    </row>
    <row r="94" spans="2:16" x14ac:dyDescent="0.25">
      <c r="B94" t="s">
        <v>295</v>
      </c>
      <c r="C94" t="s">
        <v>296</v>
      </c>
      <c r="D94" t="s">
        <v>297</v>
      </c>
      <c r="E94" t="s">
        <v>35</v>
      </c>
      <c r="F94" t="s">
        <v>53</v>
      </c>
      <c r="G94" s="6">
        <v>52270.22</v>
      </c>
      <c r="H94" t="s">
        <v>18</v>
      </c>
      <c r="I94" s="1">
        <v>43521</v>
      </c>
      <c r="J94">
        <v>0.3</v>
      </c>
      <c r="K94" t="s">
        <v>19</v>
      </c>
      <c r="L94" t="s">
        <v>72</v>
      </c>
      <c r="M94">
        <v>5.3232876712328769</v>
      </c>
      <c r="N94" t="s">
        <v>21</v>
      </c>
      <c r="O94" s="6">
        <f>staff1[[#This Row],[Salary]]*5%</f>
        <v>2613.5110000000004</v>
      </c>
      <c r="P94" s="6">
        <f>IF(staff1[[#This Row],[Tenure]]&lt;3,2%,IF(staff1[[#This Row],[Tenure]]&lt;5,5%,10%))*staff1[[#This Row],[Salary]]</f>
        <v>5227.0220000000008</v>
      </c>
    </row>
    <row r="95" spans="2:16" x14ac:dyDescent="0.25">
      <c r="B95" t="s">
        <v>298</v>
      </c>
      <c r="C95" t="s">
        <v>299</v>
      </c>
      <c r="D95" t="s">
        <v>300</v>
      </c>
      <c r="E95" t="s">
        <v>16</v>
      </c>
      <c r="F95" t="s">
        <v>17</v>
      </c>
      <c r="G95" s="6">
        <v>99965.97</v>
      </c>
      <c r="H95" t="s">
        <v>18</v>
      </c>
      <c r="I95" s="1">
        <v>43133</v>
      </c>
      <c r="J95">
        <v>1</v>
      </c>
      <c r="K95" t="s">
        <v>19</v>
      </c>
      <c r="L95" t="s">
        <v>38</v>
      </c>
      <c r="M95">
        <v>6.3863013698630136</v>
      </c>
      <c r="N95" t="s">
        <v>27</v>
      </c>
      <c r="O95" s="6">
        <f>staff1[[#This Row],[Salary]]*5%</f>
        <v>4998.2985000000008</v>
      </c>
      <c r="P95" s="6">
        <f>IF(staff1[[#This Row],[Tenure]]&lt;3,2%,IF(staff1[[#This Row],[Tenure]]&lt;5,5%,10%))*staff1[[#This Row],[Salary]]</f>
        <v>9996.5970000000016</v>
      </c>
    </row>
    <row r="96" spans="2:16" x14ac:dyDescent="0.25">
      <c r="B96" t="s">
        <v>301</v>
      </c>
      <c r="C96" t="s">
        <v>302</v>
      </c>
      <c r="D96" t="s">
        <v>303</v>
      </c>
      <c r="E96" t="s">
        <v>35</v>
      </c>
      <c r="F96" t="s">
        <v>36</v>
      </c>
      <c r="G96" s="6">
        <v>50855.53</v>
      </c>
      <c r="H96" t="s">
        <v>18</v>
      </c>
      <c r="I96" s="1">
        <v>44221</v>
      </c>
      <c r="J96">
        <v>1</v>
      </c>
      <c r="K96" t="s">
        <v>19</v>
      </c>
      <c r="L96" t="s">
        <v>20</v>
      </c>
      <c r="M96">
        <v>3.4054794520547946</v>
      </c>
      <c r="N96" t="s">
        <v>27</v>
      </c>
      <c r="O96" s="6">
        <f>staff1[[#This Row],[Salary]]*5%</f>
        <v>2542.7764999999999</v>
      </c>
      <c r="P96" s="6">
        <f>IF(staff1[[#This Row],[Tenure]]&lt;3,2%,IF(staff1[[#This Row],[Tenure]]&lt;5,5%,10%))*staff1[[#This Row],[Salary]]</f>
        <v>2542.7764999999999</v>
      </c>
    </row>
    <row r="97" spans="2:16" x14ac:dyDescent="0.25">
      <c r="B97" t="s">
        <v>304</v>
      </c>
      <c r="C97" t="s">
        <v>305</v>
      </c>
      <c r="D97" t="s">
        <v>306</v>
      </c>
      <c r="E97" t="s">
        <v>35</v>
      </c>
      <c r="F97" t="s">
        <v>25</v>
      </c>
      <c r="G97" s="6">
        <v>90884.32</v>
      </c>
      <c r="H97" t="s">
        <v>18</v>
      </c>
      <c r="I97" s="1">
        <v>43826</v>
      </c>
      <c r="J97">
        <v>1</v>
      </c>
      <c r="K97" t="s">
        <v>19</v>
      </c>
      <c r="L97" t="s">
        <v>31</v>
      </c>
      <c r="M97">
        <v>4.4876712328767123</v>
      </c>
      <c r="N97" t="s">
        <v>27</v>
      </c>
      <c r="O97" s="6">
        <f>staff1[[#This Row],[Salary]]*5%</f>
        <v>4544.2160000000003</v>
      </c>
      <c r="P97" s="6">
        <f>IF(staff1[[#This Row],[Tenure]]&lt;3,2%,IF(staff1[[#This Row],[Tenure]]&lt;5,5%,10%))*staff1[[#This Row],[Salary]]</f>
        <v>4544.2160000000003</v>
      </c>
    </row>
    <row r="98" spans="2:16" x14ac:dyDescent="0.25">
      <c r="B98" t="s">
        <v>304</v>
      </c>
      <c r="C98" t="s">
        <v>305</v>
      </c>
      <c r="D98" t="s">
        <v>306</v>
      </c>
      <c r="E98" t="s">
        <v>35</v>
      </c>
      <c r="F98" t="s">
        <v>25</v>
      </c>
      <c r="G98" s="6">
        <v>90884.32</v>
      </c>
      <c r="H98" t="s">
        <v>18</v>
      </c>
      <c r="I98" s="1">
        <v>43826</v>
      </c>
      <c r="J98">
        <v>1</v>
      </c>
      <c r="K98" t="s">
        <v>19</v>
      </c>
      <c r="L98" t="s">
        <v>31</v>
      </c>
      <c r="M98">
        <v>4.4876712328767123</v>
      </c>
      <c r="N98" t="s">
        <v>27</v>
      </c>
      <c r="O98" s="6">
        <f>staff1[[#This Row],[Salary]]*5%</f>
        <v>4544.2160000000003</v>
      </c>
      <c r="P98" s="6">
        <f>IF(staff1[[#This Row],[Tenure]]&lt;3,2%,IF(staff1[[#This Row],[Tenure]]&lt;5,5%,10%))*staff1[[#This Row],[Salary]]</f>
        <v>4544.2160000000003</v>
      </c>
    </row>
    <row r="99" spans="2:16" x14ac:dyDescent="0.25">
      <c r="B99" t="s">
        <v>307</v>
      </c>
      <c r="C99" t="s">
        <v>308</v>
      </c>
      <c r="D99" t="s">
        <v>309</v>
      </c>
      <c r="E99" t="s">
        <v>16</v>
      </c>
      <c r="F99" t="s">
        <v>17</v>
      </c>
      <c r="G99" s="6">
        <v>56253.81</v>
      </c>
      <c r="H99" t="s">
        <v>18</v>
      </c>
      <c r="I99" s="1">
        <v>44421</v>
      </c>
      <c r="J99">
        <v>1</v>
      </c>
      <c r="K99" t="s">
        <v>19</v>
      </c>
      <c r="L99" t="s">
        <v>80</v>
      </c>
      <c r="M99">
        <v>2.8575342465753426</v>
      </c>
      <c r="N99" t="s">
        <v>27</v>
      </c>
      <c r="O99" s="6">
        <f>staff1[[#This Row],[Salary]]*5%</f>
        <v>2812.6905000000002</v>
      </c>
      <c r="P99" s="6">
        <f>IF(staff1[[#This Row],[Tenure]]&lt;3,2%,IF(staff1[[#This Row],[Tenure]]&lt;5,5%,10%))*staff1[[#This Row],[Salary]]</f>
        <v>1125.0762</v>
      </c>
    </row>
    <row r="100" spans="2:16" x14ac:dyDescent="0.25">
      <c r="B100" t="s">
        <v>310</v>
      </c>
      <c r="C100" t="s">
        <v>311</v>
      </c>
      <c r="D100" t="s">
        <v>312</v>
      </c>
      <c r="E100" t="s">
        <v>16</v>
      </c>
      <c r="F100" t="s">
        <v>94</v>
      </c>
      <c r="G100" s="6">
        <v>51798.25</v>
      </c>
      <c r="H100" t="s">
        <v>18</v>
      </c>
      <c r="I100" s="1">
        <v>43665</v>
      </c>
      <c r="J100">
        <v>1</v>
      </c>
      <c r="K100" t="s">
        <v>19</v>
      </c>
      <c r="L100" t="s">
        <v>26</v>
      </c>
      <c r="M100">
        <v>4.9287671232876713</v>
      </c>
      <c r="N100" t="s">
        <v>27</v>
      </c>
      <c r="O100" s="6">
        <f>staff1[[#This Row],[Salary]]*5%</f>
        <v>2589.9125000000004</v>
      </c>
      <c r="P100" s="6">
        <f>IF(staff1[[#This Row],[Tenure]]&lt;3,2%,IF(staff1[[#This Row],[Tenure]]&lt;5,5%,10%))*staff1[[#This Row],[Salary]]</f>
        <v>2589.9125000000004</v>
      </c>
    </row>
    <row r="101" spans="2:16" x14ac:dyDescent="0.25">
      <c r="B101" t="s">
        <v>313</v>
      </c>
      <c r="C101" t="s">
        <v>314</v>
      </c>
      <c r="D101" t="s">
        <v>315</v>
      </c>
      <c r="E101" t="s">
        <v>16</v>
      </c>
      <c r="F101" t="s">
        <v>36</v>
      </c>
      <c r="G101" s="6">
        <v>114772.32</v>
      </c>
      <c r="H101" t="s">
        <v>37</v>
      </c>
      <c r="I101" s="1">
        <v>44251</v>
      </c>
      <c r="J101">
        <v>1</v>
      </c>
      <c r="K101" t="s">
        <v>19</v>
      </c>
      <c r="L101" t="s">
        <v>31</v>
      </c>
      <c r="M101">
        <v>3.3232876712328765</v>
      </c>
      <c r="N101" t="s">
        <v>27</v>
      </c>
      <c r="O101" s="6">
        <f>staff1[[#This Row],[Salary]]*5%</f>
        <v>5738.6160000000009</v>
      </c>
      <c r="P101" s="6">
        <f>IF(staff1[[#This Row],[Tenure]]&lt;3,2%,IF(staff1[[#This Row],[Tenure]]&lt;5,5%,10%))*staff1[[#This Row],[Salary]]</f>
        <v>5738.6160000000009</v>
      </c>
    </row>
    <row r="102" spans="2:16" x14ac:dyDescent="0.25">
      <c r="B102" t="s">
        <v>316</v>
      </c>
      <c r="C102" t="s">
        <v>317</v>
      </c>
      <c r="D102" t="s">
        <v>318</v>
      </c>
      <c r="E102" t="s">
        <v>35</v>
      </c>
      <c r="F102" t="s">
        <v>42</v>
      </c>
      <c r="G102" s="6">
        <v>89605.13</v>
      </c>
      <c r="H102" t="s">
        <v>18</v>
      </c>
      <c r="I102" s="1">
        <v>43258</v>
      </c>
      <c r="J102">
        <v>1</v>
      </c>
      <c r="K102" t="s">
        <v>19</v>
      </c>
      <c r="L102" t="s">
        <v>76</v>
      </c>
      <c r="M102">
        <v>6.043835616438356</v>
      </c>
      <c r="N102" t="s">
        <v>27</v>
      </c>
      <c r="O102" s="6">
        <f>staff1[[#This Row],[Salary]]*5%</f>
        <v>4480.2565000000004</v>
      </c>
      <c r="P102" s="6">
        <f>IF(staff1[[#This Row],[Tenure]]&lt;3,2%,IF(staff1[[#This Row],[Tenure]]&lt;5,5%,10%))*staff1[[#This Row],[Salary]]</f>
        <v>8960.5130000000008</v>
      </c>
    </row>
    <row r="103" spans="2:16" x14ac:dyDescent="0.25">
      <c r="B103" t="s">
        <v>319</v>
      </c>
      <c r="C103" t="s">
        <v>320</v>
      </c>
      <c r="D103" t="s">
        <v>321</v>
      </c>
      <c r="E103" t="s">
        <v>16</v>
      </c>
      <c r="F103" t="s">
        <v>36</v>
      </c>
      <c r="G103" s="6">
        <v>88425.08</v>
      </c>
      <c r="H103" t="s">
        <v>18</v>
      </c>
      <c r="I103" s="1">
        <v>43662</v>
      </c>
      <c r="J103">
        <v>1</v>
      </c>
      <c r="K103" t="s">
        <v>19</v>
      </c>
      <c r="L103" t="s">
        <v>26</v>
      </c>
      <c r="M103">
        <v>4.9369863013698634</v>
      </c>
      <c r="N103" t="s">
        <v>27</v>
      </c>
      <c r="O103" s="6">
        <f>staff1[[#This Row],[Salary]]*5%</f>
        <v>4421.2539999999999</v>
      </c>
      <c r="P103" s="6">
        <f>IF(staff1[[#This Row],[Tenure]]&lt;3,2%,IF(staff1[[#This Row],[Tenure]]&lt;5,5%,10%))*staff1[[#This Row],[Salary]]</f>
        <v>4421.2539999999999</v>
      </c>
    </row>
    <row r="104" spans="2:16" x14ac:dyDescent="0.25">
      <c r="B104" t="s">
        <v>322</v>
      </c>
      <c r="C104" t="s">
        <v>323</v>
      </c>
      <c r="D104" t="s">
        <v>324</v>
      </c>
      <c r="E104" t="s">
        <v>16</v>
      </c>
      <c r="F104" t="s">
        <v>42</v>
      </c>
      <c r="G104" s="6">
        <v>104903.79</v>
      </c>
      <c r="H104" t="s">
        <v>37</v>
      </c>
      <c r="I104" s="1">
        <v>43649</v>
      </c>
      <c r="J104">
        <v>1</v>
      </c>
      <c r="K104" t="s">
        <v>19</v>
      </c>
      <c r="L104" t="s">
        <v>72</v>
      </c>
      <c r="M104">
        <v>4.9726027397260273</v>
      </c>
      <c r="N104" t="s">
        <v>27</v>
      </c>
      <c r="O104" s="6">
        <f>staff1[[#This Row],[Salary]]*5%</f>
        <v>5245.1895000000004</v>
      </c>
      <c r="P104" s="6">
        <f>IF(staff1[[#This Row],[Tenure]]&lt;3,2%,IF(staff1[[#This Row],[Tenure]]&lt;5,5%,10%))*staff1[[#This Row],[Salary]]</f>
        <v>5245.1895000000004</v>
      </c>
    </row>
    <row r="105" spans="2:16" x14ac:dyDescent="0.25">
      <c r="B105" t="s">
        <v>325</v>
      </c>
      <c r="C105" t="s">
        <v>326</v>
      </c>
      <c r="D105" t="s">
        <v>327</v>
      </c>
      <c r="E105" t="s">
        <v>16</v>
      </c>
      <c r="F105" t="s">
        <v>87</v>
      </c>
      <c r="G105" s="6">
        <v>69057.320000000007</v>
      </c>
      <c r="H105" t="s">
        <v>18</v>
      </c>
      <c r="I105" s="1">
        <v>43390</v>
      </c>
      <c r="J105">
        <v>1</v>
      </c>
      <c r="K105" t="s">
        <v>19</v>
      </c>
      <c r="L105" t="s">
        <v>20</v>
      </c>
      <c r="M105">
        <v>5.6821917808219178</v>
      </c>
      <c r="N105" t="s">
        <v>27</v>
      </c>
      <c r="O105" s="6">
        <f>staff1[[#This Row],[Salary]]*5%</f>
        <v>3452.8660000000004</v>
      </c>
      <c r="P105" s="6">
        <f>IF(staff1[[#This Row],[Tenure]]&lt;3,2%,IF(staff1[[#This Row],[Tenure]]&lt;5,5%,10%))*staff1[[#This Row],[Salary]]</f>
        <v>6905.7320000000009</v>
      </c>
    </row>
    <row r="106" spans="2:16" x14ac:dyDescent="0.25">
      <c r="B106" t="s">
        <v>325</v>
      </c>
      <c r="C106" t="s">
        <v>326</v>
      </c>
      <c r="D106" t="s">
        <v>327</v>
      </c>
      <c r="E106" t="s">
        <v>16</v>
      </c>
      <c r="F106" t="s">
        <v>87</v>
      </c>
      <c r="G106" s="6">
        <v>69057.320000000007</v>
      </c>
      <c r="H106" t="s">
        <v>18</v>
      </c>
      <c r="I106" s="1">
        <v>43390</v>
      </c>
      <c r="J106">
        <v>1</v>
      </c>
      <c r="K106" t="s">
        <v>19</v>
      </c>
      <c r="L106" t="s">
        <v>20</v>
      </c>
      <c r="M106">
        <v>5.6821917808219178</v>
      </c>
      <c r="N106" t="s">
        <v>27</v>
      </c>
      <c r="O106" s="6">
        <f>staff1[[#This Row],[Salary]]*5%</f>
        <v>3452.8660000000004</v>
      </c>
      <c r="P106" s="6">
        <f>IF(staff1[[#This Row],[Tenure]]&lt;3,2%,IF(staff1[[#This Row],[Tenure]]&lt;5,5%,10%))*staff1[[#This Row],[Salary]]</f>
        <v>6905.7320000000009</v>
      </c>
    </row>
    <row r="107" spans="2:16" x14ac:dyDescent="0.25">
      <c r="B107" t="s">
        <v>328</v>
      </c>
      <c r="C107" t="s">
        <v>329</v>
      </c>
      <c r="D107" t="s">
        <v>330</v>
      </c>
      <c r="E107" t="s">
        <v>35</v>
      </c>
      <c r="F107" t="s">
        <v>94</v>
      </c>
      <c r="G107" s="6">
        <v>77743.149999999994</v>
      </c>
      <c r="H107" t="s">
        <v>18</v>
      </c>
      <c r="I107" s="1">
        <v>43920</v>
      </c>
      <c r="J107">
        <v>1</v>
      </c>
      <c r="K107" t="s">
        <v>19</v>
      </c>
      <c r="L107" t="s">
        <v>72</v>
      </c>
      <c r="M107">
        <v>4.2301369863013702</v>
      </c>
      <c r="N107" t="s">
        <v>27</v>
      </c>
      <c r="O107" s="6">
        <f>staff1[[#This Row],[Salary]]*5%</f>
        <v>3887.1574999999998</v>
      </c>
      <c r="P107" s="6">
        <f>IF(staff1[[#This Row],[Tenure]]&lt;3,2%,IF(staff1[[#This Row],[Tenure]]&lt;5,5%,10%))*staff1[[#This Row],[Salary]]</f>
        <v>3887.1574999999998</v>
      </c>
    </row>
    <row r="108" spans="2:16" x14ac:dyDescent="0.25">
      <c r="B108" t="s">
        <v>331</v>
      </c>
      <c r="C108" t="s">
        <v>332</v>
      </c>
      <c r="D108" t="s">
        <v>333</v>
      </c>
      <c r="E108" t="s">
        <v>35</v>
      </c>
      <c r="F108" t="s">
        <v>36</v>
      </c>
      <c r="G108" s="6">
        <v>108872.77</v>
      </c>
      <c r="H108" t="s">
        <v>37</v>
      </c>
      <c r="I108" s="1">
        <v>43521</v>
      </c>
      <c r="J108">
        <v>1</v>
      </c>
      <c r="K108" t="s">
        <v>19</v>
      </c>
      <c r="L108" t="s">
        <v>38</v>
      </c>
      <c r="M108">
        <v>5.3232876712328769</v>
      </c>
      <c r="N108" t="s">
        <v>27</v>
      </c>
      <c r="O108" s="6">
        <f>staff1[[#This Row],[Salary]]*5%</f>
        <v>5443.6385000000009</v>
      </c>
      <c r="P108" s="6">
        <f>IF(staff1[[#This Row],[Tenure]]&lt;3,2%,IF(staff1[[#This Row],[Tenure]]&lt;5,5%,10%))*staff1[[#This Row],[Salary]]</f>
        <v>10887.277000000002</v>
      </c>
    </row>
    <row r="109" spans="2:16" x14ac:dyDescent="0.25">
      <c r="B109" t="s">
        <v>334</v>
      </c>
      <c r="C109" t="s">
        <v>335</v>
      </c>
      <c r="D109" t="s">
        <v>336</v>
      </c>
      <c r="E109" t="s">
        <v>16</v>
      </c>
      <c r="F109" t="s">
        <v>53</v>
      </c>
      <c r="G109" s="6">
        <v>68887.839999999997</v>
      </c>
      <c r="H109" t="s">
        <v>18</v>
      </c>
      <c r="I109" s="1">
        <v>43297</v>
      </c>
      <c r="J109">
        <v>1</v>
      </c>
      <c r="K109" t="s">
        <v>19</v>
      </c>
      <c r="L109" t="s">
        <v>38</v>
      </c>
      <c r="M109">
        <v>5.9369863013698634</v>
      </c>
      <c r="N109" t="s">
        <v>27</v>
      </c>
      <c r="O109" s="6">
        <f>staff1[[#This Row],[Salary]]*5%</f>
        <v>3444.3919999999998</v>
      </c>
      <c r="P109" s="6">
        <f>IF(staff1[[#This Row],[Tenure]]&lt;3,2%,IF(staff1[[#This Row],[Tenure]]&lt;5,5%,10%))*staff1[[#This Row],[Salary]]</f>
        <v>6888.7839999999997</v>
      </c>
    </row>
    <row r="110" spans="2:16" x14ac:dyDescent="0.25">
      <c r="B110" t="s">
        <v>337</v>
      </c>
      <c r="C110" t="s">
        <v>338</v>
      </c>
      <c r="D110" t="s">
        <v>339</v>
      </c>
      <c r="E110" t="s">
        <v>16</v>
      </c>
      <c r="F110" t="s">
        <v>94</v>
      </c>
      <c r="G110" s="6">
        <v>66865.490000000005</v>
      </c>
      <c r="H110" t="s">
        <v>18</v>
      </c>
      <c r="I110" s="1">
        <v>43514</v>
      </c>
      <c r="J110">
        <v>1</v>
      </c>
      <c r="K110" t="s">
        <v>19</v>
      </c>
      <c r="L110" t="s">
        <v>76</v>
      </c>
      <c r="M110">
        <v>5.3424657534246576</v>
      </c>
      <c r="N110" t="s">
        <v>27</v>
      </c>
      <c r="O110" s="6">
        <f>staff1[[#This Row],[Salary]]*5%</f>
        <v>3343.2745000000004</v>
      </c>
      <c r="P110" s="6">
        <f>IF(staff1[[#This Row],[Tenure]]&lt;3,2%,IF(staff1[[#This Row],[Tenure]]&lt;5,5%,10%))*staff1[[#This Row],[Salary]]</f>
        <v>6686.5490000000009</v>
      </c>
    </row>
    <row r="111" spans="2:16" x14ac:dyDescent="0.25">
      <c r="B111" t="s">
        <v>337</v>
      </c>
      <c r="C111" t="s">
        <v>338</v>
      </c>
      <c r="D111" t="s">
        <v>339</v>
      </c>
      <c r="E111" t="s">
        <v>16</v>
      </c>
      <c r="F111" t="s">
        <v>94</v>
      </c>
      <c r="G111" s="6">
        <v>66865.490000000005</v>
      </c>
      <c r="H111" t="s">
        <v>18</v>
      </c>
      <c r="I111" s="1">
        <v>43514</v>
      </c>
      <c r="J111">
        <v>1</v>
      </c>
      <c r="K111" t="s">
        <v>19</v>
      </c>
      <c r="L111" t="s">
        <v>76</v>
      </c>
      <c r="M111">
        <v>5.3424657534246576</v>
      </c>
      <c r="N111" t="s">
        <v>27</v>
      </c>
      <c r="O111" s="6">
        <f>staff1[[#This Row],[Salary]]*5%</f>
        <v>3343.2745000000004</v>
      </c>
      <c r="P111" s="6">
        <f>IF(staff1[[#This Row],[Tenure]]&lt;3,2%,IF(staff1[[#This Row],[Tenure]]&lt;5,5%,10%))*staff1[[#This Row],[Salary]]</f>
        <v>6686.5490000000009</v>
      </c>
    </row>
    <row r="112" spans="2:16" x14ac:dyDescent="0.25">
      <c r="B112" t="s">
        <v>340</v>
      </c>
      <c r="C112" t="s">
        <v>341</v>
      </c>
      <c r="D112" t="s">
        <v>342</v>
      </c>
      <c r="E112" t="s">
        <v>16</v>
      </c>
      <c r="F112" t="s">
        <v>64</v>
      </c>
      <c r="G112" s="6">
        <v>100731.95</v>
      </c>
      <c r="H112" t="s">
        <v>37</v>
      </c>
      <c r="I112" s="1">
        <v>43936</v>
      </c>
      <c r="J112">
        <v>1</v>
      </c>
      <c r="K112" t="s">
        <v>19</v>
      </c>
      <c r="L112" t="s">
        <v>80</v>
      </c>
      <c r="M112">
        <v>4.1863013698630134</v>
      </c>
      <c r="N112" t="s">
        <v>27</v>
      </c>
      <c r="O112" s="6">
        <f>staff1[[#This Row],[Salary]]*5%</f>
        <v>5036.5974999999999</v>
      </c>
      <c r="P112" s="6">
        <f>IF(staff1[[#This Row],[Tenure]]&lt;3,2%,IF(staff1[[#This Row],[Tenure]]&lt;5,5%,10%))*staff1[[#This Row],[Salary]]</f>
        <v>5036.5974999999999</v>
      </c>
    </row>
    <row r="113" spans="2:16" x14ac:dyDescent="0.25">
      <c r="B113" t="s">
        <v>343</v>
      </c>
      <c r="C113" t="s">
        <v>344</v>
      </c>
      <c r="D113" t="s">
        <v>345</v>
      </c>
      <c r="E113" t="s">
        <v>190</v>
      </c>
      <c r="F113" t="s">
        <v>53</v>
      </c>
      <c r="G113" s="6">
        <v>107107.6</v>
      </c>
      <c r="H113" t="s">
        <v>37</v>
      </c>
      <c r="I113" s="1">
        <v>43325</v>
      </c>
      <c r="J113">
        <v>0.9</v>
      </c>
      <c r="K113" t="s">
        <v>19</v>
      </c>
      <c r="L113" t="s">
        <v>72</v>
      </c>
      <c r="M113">
        <v>5.86027397260274</v>
      </c>
      <c r="N113" t="s">
        <v>21</v>
      </c>
      <c r="O113" s="6">
        <f>staff1[[#This Row],[Salary]]*5%</f>
        <v>5355.380000000001</v>
      </c>
      <c r="P113" s="6">
        <f>IF(staff1[[#This Row],[Tenure]]&lt;3,2%,IF(staff1[[#This Row],[Tenure]]&lt;5,5%,10%))*staff1[[#This Row],[Salary]]</f>
        <v>10710.760000000002</v>
      </c>
    </row>
    <row r="114" spans="2:16" x14ac:dyDescent="0.25">
      <c r="B114" t="s">
        <v>346</v>
      </c>
      <c r="C114" t="s">
        <v>347</v>
      </c>
      <c r="D114" t="s">
        <v>348</v>
      </c>
      <c r="E114" t="s">
        <v>16</v>
      </c>
      <c r="F114" t="s">
        <v>126</v>
      </c>
      <c r="G114" s="6">
        <v>102129.37</v>
      </c>
      <c r="H114" t="s">
        <v>37</v>
      </c>
      <c r="I114" s="1">
        <v>44396</v>
      </c>
      <c r="J114">
        <v>1</v>
      </c>
      <c r="K114" t="s">
        <v>19</v>
      </c>
      <c r="L114" t="s">
        <v>31</v>
      </c>
      <c r="M114">
        <v>2.9260273972602739</v>
      </c>
      <c r="N114" t="s">
        <v>27</v>
      </c>
      <c r="O114" s="6">
        <f>staff1[[#This Row],[Salary]]*5%</f>
        <v>5106.4684999999999</v>
      </c>
      <c r="P114" s="6">
        <f>IF(staff1[[#This Row],[Tenure]]&lt;3,2%,IF(staff1[[#This Row],[Tenure]]&lt;5,5%,10%))*staff1[[#This Row],[Salary]]</f>
        <v>2042.5873999999999</v>
      </c>
    </row>
    <row r="115" spans="2:16" x14ac:dyDescent="0.25">
      <c r="B115" t="s">
        <v>349</v>
      </c>
      <c r="C115" t="s">
        <v>350</v>
      </c>
      <c r="D115" t="s">
        <v>351</v>
      </c>
      <c r="E115" t="s">
        <v>16</v>
      </c>
      <c r="F115" t="s">
        <v>49</v>
      </c>
      <c r="G115" s="6">
        <v>75733.740000000005</v>
      </c>
      <c r="H115" t="s">
        <v>18</v>
      </c>
      <c r="I115" s="1">
        <v>44382</v>
      </c>
      <c r="J115">
        <v>1</v>
      </c>
      <c r="K115" t="s">
        <v>19</v>
      </c>
      <c r="L115" t="s">
        <v>26</v>
      </c>
      <c r="M115" s="2">
        <v>2.9643835616438357</v>
      </c>
      <c r="N115" t="s">
        <v>27</v>
      </c>
      <c r="O115" s="6">
        <f>staff1[[#This Row],[Salary]]*5%</f>
        <v>3786.6870000000004</v>
      </c>
      <c r="P115" s="6">
        <f>IF(staff1[[#This Row],[Tenure]]&lt;3,2%,IF(staff1[[#This Row],[Tenure]]&lt;5,5%,10%))*staff1[[#This Row],[Salary]]</f>
        <v>1514.6748000000002</v>
      </c>
    </row>
    <row r="116" spans="2:16" x14ac:dyDescent="0.25">
      <c r="B116" t="s">
        <v>352</v>
      </c>
      <c r="C116" t="s">
        <v>353</v>
      </c>
      <c r="D116" t="s">
        <v>354</v>
      </c>
      <c r="E116" t="s">
        <v>16</v>
      </c>
      <c r="F116" t="s">
        <v>126</v>
      </c>
      <c r="G116" s="6">
        <v>78020.39</v>
      </c>
      <c r="H116" t="s">
        <v>18</v>
      </c>
      <c r="I116" s="1">
        <v>43899</v>
      </c>
      <c r="J116">
        <v>1</v>
      </c>
      <c r="K116" t="s">
        <v>19</v>
      </c>
      <c r="L116" t="s">
        <v>38</v>
      </c>
      <c r="M116">
        <v>4.2876712328767121</v>
      </c>
      <c r="N116" t="s">
        <v>27</v>
      </c>
      <c r="O116" s="6">
        <f>staff1[[#This Row],[Salary]]*5%</f>
        <v>3901.0195000000003</v>
      </c>
      <c r="P116" s="6">
        <f>IF(staff1[[#This Row],[Tenure]]&lt;3,2%,IF(staff1[[#This Row],[Tenure]]&lt;5,5%,10%))*staff1[[#This Row],[Salary]]</f>
        <v>3901.0195000000003</v>
      </c>
    </row>
    <row r="117" spans="2:16" x14ac:dyDescent="0.25">
      <c r="B117" t="s">
        <v>355</v>
      </c>
      <c r="C117" t="s">
        <v>356</v>
      </c>
      <c r="D117" t="s">
        <v>357</v>
      </c>
      <c r="E117" t="s">
        <v>16</v>
      </c>
      <c r="F117" t="s">
        <v>17</v>
      </c>
      <c r="G117" s="6">
        <v>95677.9</v>
      </c>
      <c r="H117" t="s">
        <v>18</v>
      </c>
      <c r="I117" s="1">
        <v>44396</v>
      </c>
      <c r="J117">
        <v>0.3</v>
      </c>
      <c r="K117" t="s">
        <v>19</v>
      </c>
      <c r="L117" t="s">
        <v>72</v>
      </c>
      <c r="M117">
        <v>2.9260273972602739</v>
      </c>
      <c r="N117" t="s">
        <v>21</v>
      </c>
      <c r="O117" s="6">
        <f>staff1[[#This Row],[Salary]]*5%</f>
        <v>4783.8949999999995</v>
      </c>
      <c r="P117" s="6">
        <f>IF(staff1[[#This Row],[Tenure]]&lt;3,2%,IF(staff1[[#This Row],[Tenure]]&lt;5,5%,10%))*staff1[[#This Row],[Salary]]</f>
        <v>1913.558</v>
      </c>
    </row>
    <row r="118" spans="2:16" x14ac:dyDescent="0.25">
      <c r="B118" t="s">
        <v>358</v>
      </c>
      <c r="C118" t="s">
        <v>359</v>
      </c>
      <c r="D118" t="s">
        <v>360</v>
      </c>
      <c r="E118" t="s">
        <v>35</v>
      </c>
      <c r="F118" t="s">
        <v>36</v>
      </c>
      <c r="G118" s="6">
        <v>109143.17</v>
      </c>
      <c r="H118" t="s">
        <v>37</v>
      </c>
      <c r="I118" s="1">
        <v>43945</v>
      </c>
      <c r="J118">
        <v>1</v>
      </c>
      <c r="K118" t="s">
        <v>19</v>
      </c>
      <c r="L118" t="s">
        <v>20</v>
      </c>
      <c r="M118">
        <v>4.161643835616438</v>
      </c>
      <c r="N118" t="s">
        <v>27</v>
      </c>
      <c r="O118" s="6">
        <f>staff1[[#This Row],[Salary]]*5%</f>
        <v>5457.1585000000005</v>
      </c>
      <c r="P118" s="6">
        <f>IF(staff1[[#This Row],[Tenure]]&lt;3,2%,IF(staff1[[#This Row],[Tenure]]&lt;5,5%,10%))*staff1[[#This Row],[Salary]]</f>
        <v>5457.1585000000005</v>
      </c>
    </row>
    <row r="119" spans="2:16" x14ac:dyDescent="0.25">
      <c r="B119" t="s">
        <v>361</v>
      </c>
      <c r="C119" t="s">
        <v>362</v>
      </c>
      <c r="D119" t="s">
        <v>363</v>
      </c>
      <c r="E119" t="s">
        <v>16</v>
      </c>
      <c r="F119" t="s">
        <v>87</v>
      </c>
      <c r="G119" s="6">
        <v>28305.08</v>
      </c>
      <c r="H119" t="s">
        <v>57</v>
      </c>
      <c r="I119" s="1">
        <v>43754</v>
      </c>
      <c r="J119">
        <v>1</v>
      </c>
      <c r="K119" t="s">
        <v>19</v>
      </c>
      <c r="L119" t="s">
        <v>38</v>
      </c>
      <c r="M119">
        <v>4.6849315068493151</v>
      </c>
      <c r="N119" t="s">
        <v>27</v>
      </c>
      <c r="O119" s="6">
        <f>staff1[[#This Row],[Salary]]*5%</f>
        <v>1415.2540000000001</v>
      </c>
      <c r="P119" s="6">
        <f>IF(staff1[[#This Row],[Tenure]]&lt;3,2%,IF(staff1[[#This Row],[Tenure]]&lt;5,5%,10%))*staff1[[#This Row],[Salary]]</f>
        <v>1415.2540000000001</v>
      </c>
    </row>
    <row r="120" spans="2:16" x14ac:dyDescent="0.25">
      <c r="B120" t="s">
        <v>364</v>
      </c>
      <c r="C120" t="s">
        <v>365</v>
      </c>
      <c r="D120" t="s">
        <v>366</v>
      </c>
      <c r="E120" t="s">
        <v>35</v>
      </c>
      <c r="F120" t="s">
        <v>42</v>
      </c>
      <c r="G120" s="6">
        <v>76932.600000000006</v>
      </c>
      <c r="H120" t="s">
        <v>18</v>
      </c>
      <c r="I120" s="1">
        <v>43493</v>
      </c>
      <c r="J120">
        <v>1</v>
      </c>
      <c r="K120" t="s">
        <v>19</v>
      </c>
      <c r="L120" t="s">
        <v>26</v>
      </c>
      <c r="M120">
        <v>5.4</v>
      </c>
      <c r="N120" t="s">
        <v>27</v>
      </c>
      <c r="O120" s="6">
        <f>staff1[[#This Row],[Salary]]*5%</f>
        <v>3846.6300000000006</v>
      </c>
      <c r="P120" s="6">
        <f>IF(staff1[[#This Row],[Tenure]]&lt;3,2%,IF(staff1[[#This Row],[Tenure]]&lt;5,5%,10%))*staff1[[#This Row],[Salary]]</f>
        <v>7693.2600000000011</v>
      </c>
    </row>
    <row r="121" spans="2:16" x14ac:dyDescent="0.25">
      <c r="B121" t="s">
        <v>367</v>
      </c>
      <c r="C121" t="s">
        <v>368</v>
      </c>
      <c r="D121" t="s">
        <v>369</v>
      </c>
      <c r="E121" t="s">
        <v>35</v>
      </c>
      <c r="F121" t="s">
        <v>87</v>
      </c>
      <c r="G121" s="6">
        <v>69913.39</v>
      </c>
      <c r="H121" t="s">
        <v>18</v>
      </c>
      <c r="I121" s="1">
        <v>43584</v>
      </c>
      <c r="J121">
        <v>1</v>
      </c>
      <c r="K121" t="s">
        <v>19</v>
      </c>
      <c r="L121" t="s">
        <v>38</v>
      </c>
      <c r="M121">
        <v>5.1506849315068495</v>
      </c>
      <c r="N121" t="s">
        <v>27</v>
      </c>
      <c r="O121" s="6">
        <f>staff1[[#This Row],[Salary]]*5%</f>
        <v>3495.6695</v>
      </c>
      <c r="P121" s="6">
        <f>IF(staff1[[#This Row],[Tenure]]&lt;3,2%,IF(staff1[[#This Row],[Tenure]]&lt;5,5%,10%))*staff1[[#This Row],[Salary]]</f>
        <v>6991.3389999999999</v>
      </c>
    </row>
    <row r="122" spans="2:16" x14ac:dyDescent="0.25">
      <c r="B122" t="s">
        <v>370</v>
      </c>
      <c r="C122" t="s">
        <v>371</v>
      </c>
      <c r="D122" t="s">
        <v>372</v>
      </c>
      <c r="E122" t="s">
        <v>35</v>
      </c>
      <c r="F122" t="s">
        <v>94</v>
      </c>
      <c r="G122" s="6">
        <v>111229.47</v>
      </c>
      <c r="H122" t="s">
        <v>37</v>
      </c>
      <c r="I122" s="1">
        <v>43402</v>
      </c>
      <c r="J122">
        <v>1</v>
      </c>
      <c r="K122" t="s">
        <v>19</v>
      </c>
      <c r="L122" t="s">
        <v>38</v>
      </c>
      <c r="M122">
        <v>5.6493150684931503</v>
      </c>
      <c r="N122" t="s">
        <v>27</v>
      </c>
      <c r="O122" s="6">
        <f>staff1[[#This Row],[Salary]]*5%</f>
        <v>5561.4735000000001</v>
      </c>
      <c r="P122" s="6">
        <f>IF(staff1[[#This Row],[Tenure]]&lt;3,2%,IF(staff1[[#This Row],[Tenure]]&lt;5,5%,10%))*staff1[[#This Row],[Salary]]</f>
        <v>11122.947</v>
      </c>
    </row>
    <row r="123" spans="2:16" x14ac:dyDescent="0.25">
      <c r="B123" t="s">
        <v>373</v>
      </c>
      <c r="C123" t="s">
        <v>374</v>
      </c>
      <c r="D123" t="s">
        <v>375</v>
      </c>
      <c r="E123" t="s">
        <v>16</v>
      </c>
      <c r="F123" t="s">
        <v>87</v>
      </c>
      <c r="G123" s="6">
        <v>120000</v>
      </c>
      <c r="H123" t="s">
        <v>37</v>
      </c>
      <c r="I123" s="1">
        <v>43902</v>
      </c>
      <c r="J123">
        <v>0.9</v>
      </c>
      <c r="K123" t="s">
        <v>19</v>
      </c>
      <c r="L123" t="s">
        <v>38</v>
      </c>
      <c r="M123">
        <v>4.279452054794521</v>
      </c>
      <c r="N123" t="s">
        <v>21</v>
      </c>
      <c r="O123" s="6">
        <f>staff1[[#This Row],[Salary]]*5%</f>
        <v>6000</v>
      </c>
      <c r="P123" s="6">
        <f>IF(staff1[[#This Row],[Tenure]]&lt;3,2%,IF(staff1[[#This Row],[Tenure]]&lt;5,5%,10%))*staff1[[#This Row],[Salary]]</f>
        <v>6000</v>
      </c>
    </row>
    <row r="124" spans="2:16" x14ac:dyDescent="0.25">
      <c r="B124" t="s">
        <v>376</v>
      </c>
      <c r="C124" t="s">
        <v>377</v>
      </c>
      <c r="D124" t="s">
        <v>378</v>
      </c>
      <c r="E124" t="s">
        <v>16</v>
      </c>
      <c r="F124" t="s">
        <v>64</v>
      </c>
      <c r="G124" s="6">
        <v>85264.38</v>
      </c>
      <c r="H124" t="s">
        <v>18</v>
      </c>
      <c r="I124" s="1">
        <v>43220</v>
      </c>
      <c r="J124">
        <v>1</v>
      </c>
      <c r="K124" t="s">
        <v>19</v>
      </c>
      <c r="L124" t="s">
        <v>72</v>
      </c>
      <c r="M124">
        <v>6.1479452054794521</v>
      </c>
      <c r="N124" t="s">
        <v>27</v>
      </c>
      <c r="O124" s="6">
        <f>staff1[[#This Row],[Salary]]*5%</f>
        <v>4263.2190000000001</v>
      </c>
      <c r="P124" s="6">
        <f>IF(staff1[[#This Row],[Tenure]]&lt;3,2%,IF(staff1[[#This Row],[Tenure]]&lt;5,5%,10%))*staff1[[#This Row],[Salary]]</f>
        <v>8526.4380000000001</v>
      </c>
    </row>
    <row r="125" spans="2:16" x14ac:dyDescent="0.25">
      <c r="B125" t="s">
        <v>379</v>
      </c>
      <c r="C125" t="s">
        <v>380</v>
      </c>
      <c r="D125" t="s">
        <v>381</v>
      </c>
      <c r="E125" t="s">
        <v>35</v>
      </c>
      <c r="F125" t="s">
        <v>87</v>
      </c>
      <c r="G125" s="6">
        <v>100424.23</v>
      </c>
      <c r="H125" t="s">
        <v>37</v>
      </c>
      <c r="I125" s="1">
        <v>43801</v>
      </c>
      <c r="J125">
        <v>1</v>
      </c>
      <c r="K125" t="s">
        <v>19</v>
      </c>
      <c r="L125" t="s">
        <v>80</v>
      </c>
      <c r="M125">
        <v>4.5561643835616437</v>
      </c>
      <c r="N125" t="s">
        <v>27</v>
      </c>
      <c r="O125" s="6">
        <f>staff1[[#This Row],[Salary]]*5%</f>
        <v>5021.2115000000003</v>
      </c>
      <c r="P125" s="6">
        <f>IF(staff1[[#This Row],[Tenure]]&lt;3,2%,IF(staff1[[#This Row],[Tenure]]&lt;5,5%,10%))*staff1[[#This Row],[Salary]]</f>
        <v>5021.2115000000003</v>
      </c>
    </row>
    <row r="126" spans="2:16" x14ac:dyDescent="0.25">
      <c r="B126" t="s">
        <v>382</v>
      </c>
      <c r="C126" t="s">
        <v>383</v>
      </c>
      <c r="D126" t="s">
        <v>384</v>
      </c>
      <c r="E126" t="s">
        <v>16</v>
      </c>
      <c r="F126" t="s">
        <v>116</v>
      </c>
      <c r="G126" s="6">
        <v>71924.850000000006</v>
      </c>
      <c r="H126" t="s">
        <v>18</v>
      </c>
      <c r="I126" s="1">
        <v>43822</v>
      </c>
      <c r="J126">
        <v>1</v>
      </c>
      <c r="K126" t="s">
        <v>19</v>
      </c>
      <c r="L126" t="s">
        <v>72</v>
      </c>
      <c r="M126">
        <v>4.4986301369863018</v>
      </c>
      <c r="N126" t="s">
        <v>27</v>
      </c>
      <c r="O126" s="6">
        <f>staff1[[#This Row],[Salary]]*5%</f>
        <v>3596.2425000000003</v>
      </c>
      <c r="P126" s="6">
        <f>IF(staff1[[#This Row],[Tenure]]&lt;3,2%,IF(staff1[[#This Row],[Tenure]]&lt;5,5%,10%))*staff1[[#This Row],[Salary]]</f>
        <v>3596.2425000000003</v>
      </c>
    </row>
    <row r="127" spans="2:16" x14ac:dyDescent="0.25">
      <c r="B127" t="s">
        <v>385</v>
      </c>
      <c r="C127" t="s">
        <v>386</v>
      </c>
      <c r="D127" t="s">
        <v>387</v>
      </c>
      <c r="E127" t="s">
        <v>16</v>
      </c>
      <c r="F127" t="s">
        <v>25</v>
      </c>
      <c r="G127" s="6">
        <v>61688.77</v>
      </c>
      <c r="H127" t="s">
        <v>18</v>
      </c>
      <c r="I127" s="1">
        <v>43346</v>
      </c>
      <c r="J127">
        <v>0.9</v>
      </c>
      <c r="K127" t="s">
        <v>19</v>
      </c>
      <c r="L127" t="s">
        <v>72</v>
      </c>
      <c r="M127">
        <v>5.8027397260273972</v>
      </c>
      <c r="N127" t="s">
        <v>21</v>
      </c>
      <c r="O127" s="6">
        <f>staff1[[#This Row],[Salary]]*5%</f>
        <v>3084.4385000000002</v>
      </c>
      <c r="P127" s="6">
        <f>IF(staff1[[#This Row],[Tenure]]&lt;3,2%,IF(staff1[[#This Row],[Tenure]]&lt;5,5%,10%))*staff1[[#This Row],[Salary]]</f>
        <v>6168.8770000000004</v>
      </c>
    </row>
    <row r="128" spans="2:16" x14ac:dyDescent="0.25">
      <c r="B128" t="s">
        <v>388</v>
      </c>
      <c r="C128" t="s">
        <v>389</v>
      </c>
      <c r="D128" t="s">
        <v>390</v>
      </c>
      <c r="E128" t="s">
        <v>16</v>
      </c>
      <c r="F128" t="s">
        <v>94</v>
      </c>
      <c r="G128" s="6">
        <v>75475.929999999993</v>
      </c>
      <c r="H128" t="s">
        <v>18</v>
      </c>
      <c r="I128" s="1">
        <v>43794</v>
      </c>
      <c r="J128">
        <v>1</v>
      </c>
      <c r="K128" t="s">
        <v>19</v>
      </c>
      <c r="L128" t="s">
        <v>38</v>
      </c>
      <c r="M128">
        <v>4.5753424657534243</v>
      </c>
      <c r="N128" t="s">
        <v>27</v>
      </c>
      <c r="O128" s="6">
        <f>staff1[[#This Row],[Salary]]*5%</f>
        <v>3773.7964999999999</v>
      </c>
      <c r="P128" s="6">
        <f>IF(staff1[[#This Row],[Tenure]]&lt;3,2%,IF(staff1[[#This Row],[Tenure]]&lt;5,5%,10%))*staff1[[#This Row],[Salary]]</f>
        <v>3773.7964999999999</v>
      </c>
    </row>
    <row r="129" spans="2:16" x14ac:dyDescent="0.25">
      <c r="B129" t="s">
        <v>391</v>
      </c>
      <c r="C129" t="s">
        <v>392</v>
      </c>
      <c r="D129" t="s">
        <v>393</v>
      </c>
      <c r="E129" t="s">
        <v>16</v>
      </c>
      <c r="F129" t="s">
        <v>17</v>
      </c>
      <c r="G129" s="6">
        <v>37902.35</v>
      </c>
      <c r="H129" t="s">
        <v>57</v>
      </c>
      <c r="I129" s="1">
        <v>43823</v>
      </c>
      <c r="J129">
        <v>1</v>
      </c>
      <c r="K129" t="s">
        <v>19</v>
      </c>
      <c r="L129" t="s">
        <v>72</v>
      </c>
      <c r="M129">
        <v>4.4958904109589044</v>
      </c>
      <c r="N129" t="s">
        <v>27</v>
      </c>
      <c r="O129" s="6">
        <f>staff1[[#This Row],[Salary]]*5%</f>
        <v>1895.1175000000001</v>
      </c>
      <c r="P129" s="6">
        <f>IF(staff1[[#This Row],[Tenure]]&lt;3,2%,IF(staff1[[#This Row],[Tenure]]&lt;5,5%,10%))*staff1[[#This Row],[Salary]]</f>
        <v>1895.1175000000001</v>
      </c>
    </row>
    <row r="130" spans="2:16" x14ac:dyDescent="0.25">
      <c r="B130" t="s">
        <v>391</v>
      </c>
      <c r="C130" t="s">
        <v>394</v>
      </c>
      <c r="D130" t="s">
        <v>395</v>
      </c>
      <c r="E130" t="s">
        <v>16</v>
      </c>
      <c r="F130" t="s">
        <v>17</v>
      </c>
      <c r="G130" s="6">
        <v>37902.35</v>
      </c>
      <c r="H130" t="s">
        <v>57</v>
      </c>
      <c r="I130" s="1">
        <v>43823</v>
      </c>
      <c r="J130">
        <v>1</v>
      </c>
      <c r="K130" t="s">
        <v>19</v>
      </c>
      <c r="L130" t="s">
        <v>72</v>
      </c>
      <c r="M130">
        <v>4.4958904109589044</v>
      </c>
      <c r="N130" t="s">
        <v>27</v>
      </c>
      <c r="O130" s="6">
        <f>staff1[[#This Row],[Salary]]*5%</f>
        <v>1895.1175000000001</v>
      </c>
      <c r="P130" s="6">
        <f>IF(staff1[[#This Row],[Tenure]]&lt;3,2%,IF(staff1[[#This Row],[Tenure]]&lt;5,5%,10%))*staff1[[#This Row],[Salary]]</f>
        <v>1895.1175000000001</v>
      </c>
    </row>
    <row r="131" spans="2:16" x14ac:dyDescent="0.25">
      <c r="B131" t="s">
        <v>396</v>
      </c>
      <c r="C131" t="s">
        <v>397</v>
      </c>
      <c r="D131" t="s">
        <v>398</v>
      </c>
      <c r="E131" t="s">
        <v>16</v>
      </c>
      <c r="F131" t="s">
        <v>116</v>
      </c>
      <c r="G131" s="6">
        <v>63555.73</v>
      </c>
      <c r="H131" t="s">
        <v>18</v>
      </c>
      <c r="I131" s="1">
        <v>44159</v>
      </c>
      <c r="J131">
        <v>1</v>
      </c>
      <c r="K131" t="s">
        <v>19</v>
      </c>
      <c r="L131" t="s">
        <v>72</v>
      </c>
      <c r="M131">
        <v>3.5753424657534247</v>
      </c>
      <c r="N131" t="s">
        <v>27</v>
      </c>
      <c r="O131" s="6">
        <f>staff1[[#This Row],[Salary]]*5%</f>
        <v>3177.7865000000002</v>
      </c>
      <c r="P131" s="6">
        <f>IF(staff1[[#This Row],[Tenure]]&lt;3,2%,IF(staff1[[#This Row],[Tenure]]&lt;5,5%,10%))*staff1[[#This Row],[Salary]]</f>
        <v>3177.7865000000002</v>
      </c>
    </row>
    <row r="132" spans="2:16" x14ac:dyDescent="0.25">
      <c r="B132" t="s">
        <v>399</v>
      </c>
      <c r="C132" t="s">
        <v>400</v>
      </c>
      <c r="D132" t="s">
        <v>401</v>
      </c>
      <c r="E132" t="s">
        <v>16</v>
      </c>
      <c r="F132" t="s">
        <v>94</v>
      </c>
      <c r="G132" s="6">
        <v>68197.899999999994</v>
      </c>
      <c r="H132" t="s">
        <v>18</v>
      </c>
      <c r="I132" s="1">
        <v>44119</v>
      </c>
      <c r="J132">
        <v>1</v>
      </c>
      <c r="K132" t="s">
        <v>19</v>
      </c>
      <c r="L132" t="s">
        <v>80</v>
      </c>
      <c r="M132">
        <v>3.6849315068493151</v>
      </c>
      <c r="N132" t="s">
        <v>27</v>
      </c>
      <c r="O132" s="6">
        <f>staff1[[#This Row],[Salary]]*5%</f>
        <v>3409.895</v>
      </c>
      <c r="P132" s="6">
        <f>IF(staff1[[#This Row],[Tenure]]&lt;3,2%,IF(staff1[[#This Row],[Tenure]]&lt;5,5%,10%))*staff1[[#This Row],[Salary]]</f>
        <v>3409.895</v>
      </c>
    </row>
    <row r="133" spans="2:16" x14ac:dyDescent="0.25">
      <c r="B133" t="s">
        <v>402</v>
      </c>
      <c r="C133" t="s">
        <v>403</v>
      </c>
      <c r="D133" t="s">
        <v>404</v>
      </c>
      <c r="E133" t="s">
        <v>16</v>
      </c>
      <c r="F133" t="s">
        <v>36</v>
      </c>
      <c r="G133" s="6">
        <v>94815.28</v>
      </c>
      <c r="H133" t="s">
        <v>18</v>
      </c>
      <c r="I133" s="1">
        <v>43440</v>
      </c>
      <c r="J133">
        <v>1</v>
      </c>
      <c r="K133" t="s">
        <v>19</v>
      </c>
      <c r="L133" t="s">
        <v>76</v>
      </c>
      <c r="M133">
        <v>5.5452054794520551</v>
      </c>
      <c r="N133" t="s">
        <v>27</v>
      </c>
      <c r="O133" s="6">
        <f>staff1[[#This Row],[Salary]]*5%</f>
        <v>4740.7640000000001</v>
      </c>
      <c r="P133" s="6">
        <f>IF(staff1[[#This Row],[Tenure]]&lt;3,2%,IF(staff1[[#This Row],[Tenure]]&lt;5,5%,10%))*staff1[[#This Row],[Salary]]</f>
        <v>9481.5280000000002</v>
      </c>
    </row>
    <row r="134" spans="2:16" x14ac:dyDescent="0.25">
      <c r="B134" t="s">
        <v>405</v>
      </c>
      <c r="C134" t="s">
        <v>406</v>
      </c>
      <c r="D134" t="s">
        <v>407</v>
      </c>
      <c r="E134" t="s">
        <v>35</v>
      </c>
      <c r="F134" t="s">
        <v>68</v>
      </c>
      <c r="G134" s="6">
        <v>52748.63</v>
      </c>
      <c r="H134" t="s">
        <v>18</v>
      </c>
      <c r="I134" s="1">
        <v>43857</v>
      </c>
      <c r="J134">
        <v>1</v>
      </c>
      <c r="K134" t="s">
        <v>19</v>
      </c>
      <c r="L134" t="s">
        <v>72</v>
      </c>
      <c r="M134">
        <v>4.4027397260273968</v>
      </c>
      <c r="N134" t="s">
        <v>27</v>
      </c>
      <c r="O134" s="6">
        <f>staff1[[#This Row],[Salary]]*5%</f>
        <v>2637.4315000000001</v>
      </c>
      <c r="P134" s="6">
        <f>IF(staff1[[#This Row],[Tenure]]&lt;3,2%,IF(staff1[[#This Row],[Tenure]]&lt;5,5%,10%))*staff1[[#This Row],[Salary]]</f>
        <v>2637.4315000000001</v>
      </c>
    </row>
    <row r="135" spans="2:16" x14ac:dyDescent="0.25">
      <c r="B135" t="s">
        <v>408</v>
      </c>
      <c r="C135" t="s">
        <v>409</v>
      </c>
      <c r="D135" t="s">
        <v>410</v>
      </c>
      <c r="E135" t="s">
        <v>16</v>
      </c>
      <c r="F135" t="s">
        <v>87</v>
      </c>
      <c r="G135" s="6">
        <v>109163.39</v>
      </c>
      <c r="H135" t="s">
        <v>37</v>
      </c>
      <c r="I135" s="1">
        <v>44019</v>
      </c>
      <c r="J135">
        <v>0.8</v>
      </c>
      <c r="K135" t="s">
        <v>19</v>
      </c>
      <c r="L135" t="s">
        <v>76</v>
      </c>
      <c r="M135">
        <v>3.9589041095890409</v>
      </c>
      <c r="N135" t="s">
        <v>21</v>
      </c>
      <c r="O135" s="6">
        <f>staff1[[#This Row],[Salary]]*5%</f>
        <v>5458.1695</v>
      </c>
      <c r="P135" s="6">
        <f>IF(staff1[[#This Row],[Tenure]]&lt;3,2%,IF(staff1[[#This Row],[Tenure]]&lt;5,5%,10%))*staff1[[#This Row],[Salary]]</f>
        <v>5458.1695</v>
      </c>
    </row>
    <row r="136" spans="2:16" x14ac:dyDescent="0.25">
      <c r="B136" t="s">
        <v>411</v>
      </c>
      <c r="C136" t="s">
        <v>412</v>
      </c>
      <c r="D136" t="s">
        <v>413</v>
      </c>
      <c r="E136" t="s">
        <v>16</v>
      </c>
      <c r="F136" t="s">
        <v>116</v>
      </c>
      <c r="G136" s="6">
        <v>88034.67</v>
      </c>
      <c r="H136" t="s">
        <v>18</v>
      </c>
      <c r="I136" s="1">
        <v>43669</v>
      </c>
      <c r="J136">
        <v>1</v>
      </c>
      <c r="K136" t="s">
        <v>19</v>
      </c>
      <c r="L136" t="s">
        <v>38</v>
      </c>
      <c r="M136">
        <v>4.9178082191780819</v>
      </c>
      <c r="N136" t="s">
        <v>27</v>
      </c>
      <c r="O136" s="6">
        <f>staff1[[#This Row],[Salary]]*5%</f>
        <v>4401.7335000000003</v>
      </c>
      <c r="P136" s="6">
        <f>IF(staff1[[#This Row],[Tenure]]&lt;3,2%,IF(staff1[[#This Row],[Tenure]]&lt;5,5%,10%))*staff1[[#This Row],[Salary]]</f>
        <v>4401.7335000000003</v>
      </c>
    </row>
    <row r="137" spans="2:16" x14ac:dyDescent="0.25">
      <c r="B137" t="s">
        <v>414</v>
      </c>
      <c r="C137" t="s">
        <v>415</v>
      </c>
      <c r="D137" t="s">
        <v>416</v>
      </c>
      <c r="E137" t="s">
        <v>16</v>
      </c>
      <c r="F137" t="s">
        <v>87</v>
      </c>
      <c r="G137" s="6">
        <v>42161.77</v>
      </c>
      <c r="H137" t="s">
        <v>57</v>
      </c>
      <c r="I137" s="1">
        <v>43494</v>
      </c>
      <c r="J137">
        <v>1</v>
      </c>
      <c r="K137" t="s">
        <v>19</v>
      </c>
      <c r="L137" t="s">
        <v>80</v>
      </c>
      <c r="M137">
        <v>5.397260273972603</v>
      </c>
      <c r="N137" t="s">
        <v>27</v>
      </c>
      <c r="O137" s="6">
        <f>staff1[[#This Row],[Salary]]*5%</f>
        <v>2108.0884999999998</v>
      </c>
      <c r="P137" s="6">
        <f>IF(staff1[[#This Row],[Tenure]]&lt;3,2%,IF(staff1[[#This Row],[Tenure]]&lt;5,5%,10%))*staff1[[#This Row],[Salary]]</f>
        <v>4216.1769999999997</v>
      </c>
    </row>
    <row r="138" spans="2:16" x14ac:dyDescent="0.25">
      <c r="B138" t="s">
        <v>417</v>
      </c>
      <c r="C138" t="s">
        <v>418</v>
      </c>
      <c r="D138" t="s">
        <v>419</v>
      </c>
      <c r="E138" t="s">
        <v>35</v>
      </c>
      <c r="F138" t="s">
        <v>116</v>
      </c>
      <c r="G138" s="6">
        <v>59258.19</v>
      </c>
      <c r="H138" t="s">
        <v>18</v>
      </c>
      <c r="I138" s="1">
        <v>43452</v>
      </c>
      <c r="J138">
        <v>0.8</v>
      </c>
      <c r="K138" t="s">
        <v>19</v>
      </c>
      <c r="L138" t="s">
        <v>76</v>
      </c>
      <c r="M138">
        <v>5.5123287671232877</v>
      </c>
      <c r="N138" t="s">
        <v>21</v>
      </c>
      <c r="O138" s="6">
        <f>staff1[[#This Row],[Salary]]*5%</f>
        <v>2962.9095000000002</v>
      </c>
      <c r="P138" s="6">
        <f>IF(staff1[[#This Row],[Tenure]]&lt;3,2%,IF(staff1[[#This Row],[Tenure]]&lt;5,5%,10%))*staff1[[#This Row],[Salary]]</f>
        <v>5925.8190000000004</v>
      </c>
    </row>
    <row r="139" spans="2:16" x14ac:dyDescent="0.25">
      <c r="B139" t="s">
        <v>417</v>
      </c>
      <c r="C139" t="s">
        <v>418</v>
      </c>
      <c r="D139" t="s">
        <v>419</v>
      </c>
      <c r="E139" t="s">
        <v>35</v>
      </c>
      <c r="F139" t="s">
        <v>116</v>
      </c>
      <c r="G139" s="6">
        <v>59258.19</v>
      </c>
      <c r="H139" t="s">
        <v>18</v>
      </c>
      <c r="I139" s="1">
        <v>43452</v>
      </c>
      <c r="J139">
        <v>0.8</v>
      </c>
      <c r="K139" t="s">
        <v>19</v>
      </c>
      <c r="L139" t="s">
        <v>76</v>
      </c>
      <c r="M139">
        <v>5.5123287671232877</v>
      </c>
      <c r="N139" t="s">
        <v>21</v>
      </c>
      <c r="O139" s="6">
        <f>staff1[[#This Row],[Salary]]*5%</f>
        <v>2962.9095000000002</v>
      </c>
      <c r="P139" s="6">
        <f>IF(staff1[[#This Row],[Tenure]]&lt;3,2%,IF(staff1[[#This Row],[Tenure]]&lt;5,5%,10%))*staff1[[#This Row],[Salary]]</f>
        <v>5925.8190000000004</v>
      </c>
    </row>
    <row r="140" spans="2:16" x14ac:dyDescent="0.25">
      <c r="B140" t="s">
        <v>420</v>
      </c>
      <c r="C140" t="s">
        <v>421</v>
      </c>
      <c r="D140" t="s">
        <v>422</v>
      </c>
      <c r="E140" t="s">
        <v>16</v>
      </c>
      <c r="F140" t="s">
        <v>17</v>
      </c>
      <c r="G140" s="6">
        <v>71570.990000000005</v>
      </c>
      <c r="H140" t="s">
        <v>18</v>
      </c>
      <c r="I140" s="1">
        <v>44249</v>
      </c>
      <c r="J140">
        <v>0.5</v>
      </c>
      <c r="K140" t="s">
        <v>19</v>
      </c>
      <c r="L140" t="s">
        <v>26</v>
      </c>
      <c r="M140">
        <v>3.3287671232876712</v>
      </c>
      <c r="N140" t="s">
        <v>21</v>
      </c>
      <c r="O140" s="6">
        <f>staff1[[#This Row],[Salary]]*5%</f>
        <v>3578.5495000000005</v>
      </c>
      <c r="P140" s="6">
        <f>IF(staff1[[#This Row],[Tenure]]&lt;3,2%,IF(staff1[[#This Row],[Tenure]]&lt;5,5%,10%))*staff1[[#This Row],[Salary]]</f>
        <v>3578.5495000000005</v>
      </c>
    </row>
    <row r="141" spans="2:16" x14ac:dyDescent="0.25">
      <c r="B141" t="s">
        <v>423</v>
      </c>
      <c r="C141" t="s">
        <v>424</v>
      </c>
      <c r="D141" t="s">
        <v>425</v>
      </c>
      <c r="E141" t="s">
        <v>35</v>
      </c>
      <c r="F141" t="s">
        <v>53</v>
      </c>
      <c r="G141" s="6">
        <v>67633.850000000006</v>
      </c>
      <c r="H141" t="s">
        <v>18</v>
      </c>
      <c r="I141" s="1">
        <v>43340</v>
      </c>
      <c r="J141">
        <v>1</v>
      </c>
      <c r="K141" t="s">
        <v>19</v>
      </c>
      <c r="L141" t="s">
        <v>31</v>
      </c>
      <c r="M141">
        <v>5.8191780821917805</v>
      </c>
      <c r="N141" t="s">
        <v>27</v>
      </c>
      <c r="O141" s="6">
        <f>staff1[[#This Row],[Salary]]*5%</f>
        <v>3381.6925000000006</v>
      </c>
      <c r="P141" s="6">
        <f>IF(staff1[[#This Row],[Tenure]]&lt;3,2%,IF(staff1[[#This Row],[Tenure]]&lt;5,5%,10%))*staff1[[#This Row],[Salary]]</f>
        <v>6763.3850000000011</v>
      </c>
    </row>
    <row r="142" spans="2:16" x14ac:dyDescent="0.25">
      <c r="B142" t="s">
        <v>426</v>
      </c>
      <c r="C142" t="s">
        <v>427</v>
      </c>
      <c r="D142" t="s">
        <v>428</v>
      </c>
      <c r="E142" t="s">
        <v>35</v>
      </c>
      <c r="F142" t="s">
        <v>49</v>
      </c>
      <c r="G142" s="6">
        <v>89838.77</v>
      </c>
      <c r="H142" t="s">
        <v>18</v>
      </c>
      <c r="I142" s="1">
        <v>43602</v>
      </c>
      <c r="J142">
        <v>1</v>
      </c>
      <c r="K142" t="s">
        <v>19</v>
      </c>
      <c r="L142" t="s">
        <v>38</v>
      </c>
      <c r="M142" s="2">
        <v>5.1013698630136988</v>
      </c>
      <c r="N142" t="s">
        <v>27</v>
      </c>
      <c r="O142" s="6">
        <f>staff1[[#This Row],[Salary]]*5%</f>
        <v>4491.9385000000002</v>
      </c>
      <c r="P142" s="6">
        <f>IF(staff1[[#This Row],[Tenure]]&lt;3,2%,IF(staff1[[#This Row],[Tenure]]&lt;5,5%,10%))*staff1[[#This Row],[Salary]]</f>
        <v>8983.8770000000004</v>
      </c>
    </row>
    <row r="143" spans="2:16" x14ac:dyDescent="0.25">
      <c r="B143" t="s">
        <v>429</v>
      </c>
      <c r="C143" t="s">
        <v>430</v>
      </c>
      <c r="D143" t="s">
        <v>431</v>
      </c>
      <c r="E143" t="s">
        <v>35</v>
      </c>
      <c r="F143" t="s">
        <v>49</v>
      </c>
      <c r="G143" s="6">
        <v>28481.16</v>
      </c>
      <c r="H143" t="s">
        <v>57</v>
      </c>
      <c r="I143" s="1">
        <v>43916</v>
      </c>
      <c r="J143">
        <v>1</v>
      </c>
      <c r="K143" t="s">
        <v>19</v>
      </c>
      <c r="L143" t="s">
        <v>26</v>
      </c>
      <c r="M143" s="2">
        <v>4.2410958904109588</v>
      </c>
      <c r="N143" t="s">
        <v>27</v>
      </c>
      <c r="O143" s="6">
        <f>staff1[[#This Row],[Salary]]*5%</f>
        <v>1424.058</v>
      </c>
      <c r="P143" s="6">
        <f>IF(staff1[[#This Row],[Tenure]]&lt;3,2%,IF(staff1[[#This Row],[Tenure]]&lt;5,5%,10%))*staff1[[#This Row],[Salary]]</f>
        <v>1424.058</v>
      </c>
    </row>
    <row r="144" spans="2:16" x14ac:dyDescent="0.25">
      <c r="B144" t="s">
        <v>429</v>
      </c>
      <c r="C144" t="s">
        <v>432</v>
      </c>
      <c r="D144" t="s">
        <v>433</v>
      </c>
      <c r="E144" t="s">
        <v>35</v>
      </c>
      <c r="F144" t="s">
        <v>49</v>
      </c>
      <c r="G144" s="6">
        <v>28481.16</v>
      </c>
      <c r="H144" t="s">
        <v>57</v>
      </c>
      <c r="I144" s="1">
        <v>43916</v>
      </c>
      <c r="J144">
        <v>1</v>
      </c>
      <c r="K144" t="s">
        <v>19</v>
      </c>
      <c r="L144" t="s">
        <v>26</v>
      </c>
      <c r="M144" s="2">
        <v>4.2410958904109588</v>
      </c>
      <c r="N144" t="s">
        <v>27</v>
      </c>
      <c r="O144" s="6">
        <f>staff1[[#This Row],[Salary]]*5%</f>
        <v>1424.058</v>
      </c>
      <c r="P144" s="6">
        <f>IF(staff1[[#This Row],[Tenure]]&lt;3,2%,IF(staff1[[#This Row],[Tenure]]&lt;5,5%,10%))*staff1[[#This Row],[Salary]]</f>
        <v>1424.058</v>
      </c>
    </row>
    <row r="145" spans="2:16" x14ac:dyDescent="0.25">
      <c r="B145" t="s">
        <v>434</v>
      </c>
      <c r="C145" t="s">
        <v>435</v>
      </c>
      <c r="D145" t="s">
        <v>436</v>
      </c>
      <c r="E145" t="s">
        <v>16</v>
      </c>
      <c r="F145" t="s">
        <v>36</v>
      </c>
      <c r="G145" s="6">
        <v>114425.19</v>
      </c>
      <c r="H145" t="s">
        <v>37</v>
      </c>
      <c r="I145" s="1">
        <v>43857</v>
      </c>
      <c r="J145">
        <v>1</v>
      </c>
      <c r="K145" t="s">
        <v>19</v>
      </c>
      <c r="L145" t="s">
        <v>20</v>
      </c>
      <c r="M145">
        <v>4.4027397260273968</v>
      </c>
      <c r="N145" t="s">
        <v>27</v>
      </c>
      <c r="O145" s="6">
        <f>staff1[[#This Row],[Salary]]*5%</f>
        <v>5721.2595000000001</v>
      </c>
      <c r="P145" s="6">
        <f>IF(staff1[[#This Row],[Tenure]]&lt;3,2%,IF(staff1[[#This Row],[Tenure]]&lt;5,5%,10%))*staff1[[#This Row],[Salary]]</f>
        <v>5721.2595000000001</v>
      </c>
    </row>
    <row r="146" spans="2:16" x14ac:dyDescent="0.25">
      <c r="B146" t="s">
        <v>437</v>
      </c>
      <c r="C146" t="s">
        <v>438</v>
      </c>
      <c r="D146" t="s">
        <v>439</v>
      </c>
      <c r="E146" t="s">
        <v>35</v>
      </c>
      <c r="F146" t="s">
        <v>49</v>
      </c>
      <c r="G146" s="6">
        <v>99460.78</v>
      </c>
      <c r="H146" t="s">
        <v>18</v>
      </c>
      <c r="I146" s="1">
        <v>43956</v>
      </c>
      <c r="J146">
        <v>1</v>
      </c>
      <c r="K146" t="s">
        <v>19</v>
      </c>
      <c r="L146" t="s">
        <v>38</v>
      </c>
      <c r="M146" s="2">
        <v>4.1315068493150688</v>
      </c>
      <c r="N146" t="s">
        <v>27</v>
      </c>
      <c r="O146" s="6">
        <f>staff1[[#This Row],[Salary]]*5%</f>
        <v>4973.0390000000007</v>
      </c>
      <c r="P146" s="6">
        <f>IF(staff1[[#This Row],[Tenure]]&lt;3,2%,IF(staff1[[#This Row],[Tenure]]&lt;5,5%,10%))*staff1[[#This Row],[Salary]]</f>
        <v>4973.0390000000007</v>
      </c>
    </row>
    <row r="147" spans="2:16" x14ac:dyDescent="0.25">
      <c r="B147" t="s">
        <v>440</v>
      </c>
      <c r="C147" t="s">
        <v>441</v>
      </c>
      <c r="D147" t="s">
        <v>442</v>
      </c>
      <c r="E147" t="s">
        <v>35</v>
      </c>
      <c r="F147" t="s">
        <v>116</v>
      </c>
      <c r="G147" s="6">
        <v>30077.45</v>
      </c>
      <c r="H147" t="s">
        <v>57</v>
      </c>
      <c r="I147" s="1">
        <v>43474</v>
      </c>
      <c r="J147">
        <v>1</v>
      </c>
      <c r="K147" t="s">
        <v>19</v>
      </c>
      <c r="L147" t="s">
        <v>20</v>
      </c>
      <c r="M147">
        <v>5.4520547945205475</v>
      </c>
      <c r="N147" t="s">
        <v>27</v>
      </c>
      <c r="O147" s="6">
        <f>staff1[[#This Row],[Salary]]*5%</f>
        <v>1503.8725000000002</v>
      </c>
      <c r="P147" s="6">
        <f>IF(staff1[[#This Row],[Tenure]]&lt;3,2%,IF(staff1[[#This Row],[Tenure]]&lt;5,5%,10%))*staff1[[#This Row],[Salary]]</f>
        <v>3007.7450000000003</v>
      </c>
    </row>
    <row r="148" spans="2:16" x14ac:dyDescent="0.25">
      <c r="B148" t="s">
        <v>443</v>
      </c>
      <c r="C148" t="s">
        <v>444</v>
      </c>
      <c r="D148" t="s">
        <v>445</v>
      </c>
      <c r="E148" t="s">
        <v>35</v>
      </c>
      <c r="F148" t="s">
        <v>94</v>
      </c>
      <c r="G148" s="6">
        <v>80360.41</v>
      </c>
      <c r="H148" t="s">
        <v>18</v>
      </c>
      <c r="I148" s="1">
        <v>44167</v>
      </c>
      <c r="J148">
        <v>1</v>
      </c>
      <c r="K148" t="s">
        <v>19</v>
      </c>
      <c r="L148" t="s">
        <v>38</v>
      </c>
      <c r="M148">
        <v>3.5534246575342467</v>
      </c>
      <c r="N148" t="s">
        <v>27</v>
      </c>
      <c r="O148" s="6">
        <f>staff1[[#This Row],[Salary]]*5%</f>
        <v>4018.0205000000005</v>
      </c>
      <c r="P148" s="6">
        <f>IF(staff1[[#This Row],[Tenure]]&lt;3,2%,IF(staff1[[#This Row],[Tenure]]&lt;5,5%,10%))*staff1[[#This Row],[Salary]]</f>
        <v>4018.0205000000005</v>
      </c>
    </row>
    <row r="149" spans="2:16" x14ac:dyDescent="0.25">
      <c r="B149" t="s">
        <v>446</v>
      </c>
      <c r="C149" t="s">
        <v>447</v>
      </c>
      <c r="D149" t="s">
        <v>448</v>
      </c>
      <c r="E149" t="s">
        <v>16</v>
      </c>
      <c r="F149" t="s">
        <v>94</v>
      </c>
      <c r="G149" s="6">
        <v>68795.48</v>
      </c>
      <c r="H149" t="s">
        <v>18</v>
      </c>
      <c r="I149" s="1">
        <v>44277</v>
      </c>
      <c r="J149">
        <v>0.2</v>
      </c>
      <c r="K149" t="s">
        <v>19</v>
      </c>
      <c r="L149" t="s">
        <v>38</v>
      </c>
      <c r="M149">
        <v>3.2520547945205478</v>
      </c>
      <c r="N149" t="s">
        <v>21</v>
      </c>
      <c r="O149" s="6">
        <f>staff1[[#This Row],[Salary]]*5%</f>
        <v>3439.7739999999999</v>
      </c>
      <c r="P149" s="6">
        <f>IF(staff1[[#This Row],[Tenure]]&lt;3,2%,IF(staff1[[#This Row],[Tenure]]&lt;5,5%,10%))*staff1[[#This Row],[Salary]]</f>
        <v>3439.7739999999999</v>
      </c>
    </row>
    <row r="150" spans="2:16" x14ac:dyDescent="0.25">
      <c r="B150" t="s">
        <v>446</v>
      </c>
      <c r="C150" t="s">
        <v>447</v>
      </c>
      <c r="D150" t="s">
        <v>448</v>
      </c>
      <c r="E150" t="s">
        <v>16</v>
      </c>
      <c r="F150" t="s">
        <v>94</v>
      </c>
      <c r="G150" s="6">
        <v>68795.48</v>
      </c>
      <c r="H150" t="s">
        <v>18</v>
      </c>
      <c r="I150" s="1">
        <v>44277</v>
      </c>
      <c r="J150">
        <v>0.2</v>
      </c>
      <c r="K150" t="s">
        <v>19</v>
      </c>
      <c r="L150" t="s">
        <v>38</v>
      </c>
      <c r="M150">
        <v>3.2520547945205478</v>
      </c>
      <c r="N150" t="s">
        <v>21</v>
      </c>
      <c r="O150" s="6">
        <f>staff1[[#This Row],[Salary]]*5%</f>
        <v>3439.7739999999999</v>
      </c>
      <c r="P150" s="6">
        <f>IF(staff1[[#This Row],[Tenure]]&lt;3,2%,IF(staff1[[#This Row],[Tenure]]&lt;5,5%,10%))*staff1[[#This Row],[Salary]]</f>
        <v>3439.7739999999999</v>
      </c>
    </row>
    <row r="151" spans="2:16" x14ac:dyDescent="0.25">
      <c r="B151" t="s">
        <v>449</v>
      </c>
      <c r="C151" t="s">
        <v>450</v>
      </c>
      <c r="D151" t="s">
        <v>451</v>
      </c>
      <c r="E151" t="s">
        <v>35</v>
      </c>
      <c r="F151" t="s">
        <v>25</v>
      </c>
      <c r="G151" s="6">
        <v>88511.17</v>
      </c>
      <c r="H151" t="s">
        <v>18</v>
      </c>
      <c r="I151" s="1">
        <v>43950</v>
      </c>
      <c r="J151">
        <v>1</v>
      </c>
      <c r="K151" t="s">
        <v>19</v>
      </c>
      <c r="L151" t="s">
        <v>31</v>
      </c>
      <c r="M151">
        <v>4.1479452054794521</v>
      </c>
      <c r="N151" t="s">
        <v>27</v>
      </c>
      <c r="O151" s="6">
        <f>staff1[[#This Row],[Salary]]*5%</f>
        <v>4425.5585000000001</v>
      </c>
      <c r="P151" s="6">
        <f>IF(staff1[[#This Row],[Tenure]]&lt;3,2%,IF(staff1[[#This Row],[Tenure]]&lt;5,5%,10%))*staff1[[#This Row],[Salary]]</f>
        <v>4425.5585000000001</v>
      </c>
    </row>
    <row r="152" spans="2:16" x14ac:dyDescent="0.25">
      <c r="B152" t="s">
        <v>452</v>
      </c>
      <c r="C152" t="s">
        <v>453</v>
      </c>
      <c r="D152" t="s">
        <v>454</v>
      </c>
      <c r="E152" t="s">
        <v>35</v>
      </c>
      <c r="F152" t="s">
        <v>53</v>
      </c>
      <c r="G152" s="6">
        <v>57925.91</v>
      </c>
      <c r="H152" t="s">
        <v>18</v>
      </c>
      <c r="I152" s="1">
        <v>43572</v>
      </c>
      <c r="J152">
        <v>0.5</v>
      </c>
      <c r="K152" t="s">
        <v>19</v>
      </c>
      <c r="L152" t="s">
        <v>20</v>
      </c>
      <c r="M152">
        <v>5.183561643835616</v>
      </c>
      <c r="N152" t="s">
        <v>21</v>
      </c>
      <c r="O152" s="6">
        <f>staff1[[#This Row],[Salary]]*5%</f>
        <v>2896.2955000000002</v>
      </c>
      <c r="P152" s="6">
        <f>IF(staff1[[#This Row],[Tenure]]&lt;3,2%,IF(staff1[[#This Row],[Tenure]]&lt;5,5%,10%))*staff1[[#This Row],[Salary]]</f>
        <v>5792.5910000000003</v>
      </c>
    </row>
    <row r="153" spans="2:16" x14ac:dyDescent="0.25">
      <c r="B153" t="s">
        <v>455</v>
      </c>
      <c r="C153" t="s">
        <v>456</v>
      </c>
      <c r="D153" t="s">
        <v>457</v>
      </c>
      <c r="E153" t="s">
        <v>35</v>
      </c>
      <c r="F153" t="s">
        <v>25</v>
      </c>
      <c r="G153" s="6">
        <v>80169.42</v>
      </c>
      <c r="H153" t="s">
        <v>18</v>
      </c>
      <c r="I153" s="1">
        <v>44053</v>
      </c>
      <c r="J153">
        <v>1</v>
      </c>
      <c r="K153" t="s">
        <v>19</v>
      </c>
      <c r="L153" t="s">
        <v>80</v>
      </c>
      <c r="M153">
        <v>3.8657534246575342</v>
      </c>
      <c r="N153" t="s">
        <v>27</v>
      </c>
      <c r="O153" s="6">
        <f>staff1[[#This Row],[Salary]]*5%</f>
        <v>4008.471</v>
      </c>
      <c r="P153" s="6">
        <f>IF(staff1[[#This Row],[Tenure]]&lt;3,2%,IF(staff1[[#This Row],[Tenure]]&lt;5,5%,10%))*staff1[[#This Row],[Salary]]</f>
        <v>4008.471</v>
      </c>
    </row>
    <row r="154" spans="2:16" x14ac:dyDescent="0.25">
      <c r="B154" t="s">
        <v>455</v>
      </c>
      <c r="C154" t="s">
        <v>456</v>
      </c>
      <c r="D154" t="s">
        <v>457</v>
      </c>
      <c r="E154" t="s">
        <v>35</v>
      </c>
      <c r="F154" t="s">
        <v>25</v>
      </c>
      <c r="G154" s="6">
        <v>80169.42</v>
      </c>
      <c r="H154" t="s">
        <v>18</v>
      </c>
      <c r="I154" s="1">
        <v>44053</v>
      </c>
      <c r="J154">
        <v>1</v>
      </c>
      <c r="K154" t="s">
        <v>19</v>
      </c>
      <c r="L154" t="s">
        <v>80</v>
      </c>
      <c r="M154">
        <v>3.8657534246575342</v>
      </c>
      <c r="N154" t="s">
        <v>27</v>
      </c>
      <c r="O154" s="6">
        <f>staff1[[#This Row],[Salary]]*5%</f>
        <v>4008.471</v>
      </c>
      <c r="P154" s="6">
        <f>IF(staff1[[#This Row],[Tenure]]&lt;3,2%,IF(staff1[[#This Row],[Tenure]]&lt;5,5%,10%))*staff1[[#This Row],[Salary]]</f>
        <v>4008.471</v>
      </c>
    </row>
    <row r="155" spans="2:16" x14ac:dyDescent="0.25">
      <c r="B155" t="s">
        <v>458</v>
      </c>
      <c r="C155" t="s">
        <v>459</v>
      </c>
      <c r="D155" t="s">
        <v>460</v>
      </c>
      <c r="E155" t="s">
        <v>35</v>
      </c>
      <c r="F155" t="s">
        <v>87</v>
      </c>
      <c r="G155" s="6">
        <v>88689.09</v>
      </c>
      <c r="H155" t="s">
        <v>18</v>
      </c>
      <c r="I155" s="1">
        <v>43740</v>
      </c>
      <c r="J155">
        <v>1</v>
      </c>
      <c r="K155" t="s">
        <v>19</v>
      </c>
      <c r="L155" t="s">
        <v>76</v>
      </c>
      <c r="M155">
        <v>4.7232876712328764</v>
      </c>
      <c r="N155" t="s">
        <v>27</v>
      </c>
      <c r="O155" s="6">
        <f>staff1[[#This Row],[Salary]]*5%</f>
        <v>4434.4544999999998</v>
      </c>
      <c r="P155" s="6">
        <f>IF(staff1[[#This Row],[Tenure]]&lt;3,2%,IF(staff1[[#This Row],[Tenure]]&lt;5,5%,10%))*staff1[[#This Row],[Salary]]</f>
        <v>4434.4544999999998</v>
      </c>
    </row>
    <row r="156" spans="2:16" x14ac:dyDescent="0.25">
      <c r="B156" t="s">
        <v>461</v>
      </c>
      <c r="C156" t="s">
        <v>305</v>
      </c>
      <c r="D156" t="s">
        <v>306</v>
      </c>
      <c r="E156" t="s">
        <v>35</v>
      </c>
      <c r="F156" t="s">
        <v>25</v>
      </c>
      <c r="G156" s="6">
        <v>90884.32</v>
      </c>
      <c r="H156" t="s">
        <v>18</v>
      </c>
      <c r="I156" s="1">
        <v>44039</v>
      </c>
      <c r="J156">
        <v>0.5</v>
      </c>
      <c r="K156" t="s">
        <v>19</v>
      </c>
      <c r="L156" t="s">
        <v>31</v>
      </c>
      <c r="M156">
        <v>3.904109589041096</v>
      </c>
      <c r="N156" t="s">
        <v>21</v>
      </c>
      <c r="O156" s="6">
        <f>staff1[[#This Row],[Salary]]*5%</f>
        <v>4544.2160000000003</v>
      </c>
      <c r="P156" s="6">
        <f>IF(staff1[[#This Row],[Tenure]]&lt;3,2%,IF(staff1[[#This Row],[Tenure]]&lt;5,5%,10%))*staff1[[#This Row],[Salary]]</f>
        <v>4544.2160000000003</v>
      </c>
    </row>
    <row r="157" spans="2:16" x14ac:dyDescent="0.25">
      <c r="B157" t="s">
        <v>462</v>
      </c>
      <c r="C157" t="s">
        <v>463</v>
      </c>
      <c r="D157" t="s">
        <v>464</v>
      </c>
      <c r="E157" t="s">
        <v>35</v>
      </c>
      <c r="F157" t="s">
        <v>68</v>
      </c>
      <c r="G157" s="6">
        <v>69709.509999999995</v>
      </c>
      <c r="H157" t="s">
        <v>18</v>
      </c>
      <c r="I157" s="1">
        <v>43472</v>
      </c>
      <c r="J157">
        <v>1</v>
      </c>
      <c r="K157" t="s">
        <v>19</v>
      </c>
      <c r="L157" t="s">
        <v>26</v>
      </c>
      <c r="M157">
        <v>5.4575342465753423</v>
      </c>
      <c r="N157" t="s">
        <v>27</v>
      </c>
      <c r="O157" s="6">
        <f>staff1[[#This Row],[Salary]]*5%</f>
        <v>3485.4755</v>
      </c>
      <c r="P157" s="6">
        <f>IF(staff1[[#This Row],[Tenure]]&lt;3,2%,IF(staff1[[#This Row],[Tenure]]&lt;5,5%,10%))*staff1[[#This Row],[Salary]]</f>
        <v>6970.951</v>
      </c>
    </row>
    <row r="158" spans="2:16" x14ac:dyDescent="0.25">
      <c r="B158" t="s">
        <v>465</v>
      </c>
      <c r="C158" t="s">
        <v>466</v>
      </c>
      <c r="D158" t="s">
        <v>467</v>
      </c>
      <c r="E158" t="s">
        <v>190</v>
      </c>
      <c r="F158" t="s">
        <v>53</v>
      </c>
      <c r="G158" s="6">
        <v>98012.63</v>
      </c>
      <c r="H158" t="s">
        <v>18</v>
      </c>
      <c r="I158" s="1">
        <v>43780</v>
      </c>
      <c r="J158">
        <v>1</v>
      </c>
      <c r="K158" t="s">
        <v>19</v>
      </c>
      <c r="L158" t="s">
        <v>38</v>
      </c>
      <c r="M158">
        <v>4.6136986301369864</v>
      </c>
      <c r="N158" t="s">
        <v>27</v>
      </c>
      <c r="O158" s="6">
        <f>staff1[[#This Row],[Salary]]*5%</f>
        <v>4900.6315000000004</v>
      </c>
      <c r="P158" s="6">
        <f>IF(staff1[[#This Row],[Tenure]]&lt;3,2%,IF(staff1[[#This Row],[Tenure]]&lt;5,5%,10%))*staff1[[#This Row],[Salary]]</f>
        <v>4900.6315000000004</v>
      </c>
    </row>
    <row r="159" spans="2:16" x14ac:dyDescent="0.25">
      <c r="B159" t="s">
        <v>468</v>
      </c>
      <c r="C159" t="s">
        <v>469</v>
      </c>
      <c r="D159" t="s">
        <v>470</v>
      </c>
      <c r="E159" t="s">
        <v>35</v>
      </c>
      <c r="F159" t="s">
        <v>64</v>
      </c>
      <c r="G159" s="6">
        <v>28329.77</v>
      </c>
      <c r="H159" t="s">
        <v>57</v>
      </c>
      <c r="I159" s="1">
        <v>43402</v>
      </c>
      <c r="J159">
        <v>1</v>
      </c>
      <c r="K159" t="s">
        <v>19</v>
      </c>
      <c r="L159" t="s">
        <v>76</v>
      </c>
      <c r="M159">
        <v>5.6493150684931503</v>
      </c>
      <c r="N159" t="s">
        <v>27</v>
      </c>
      <c r="O159" s="6">
        <f>staff1[[#This Row],[Salary]]*5%</f>
        <v>1416.4885000000002</v>
      </c>
      <c r="P159" s="6">
        <f>IF(staff1[[#This Row],[Tenure]]&lt;3,2%,IF(staff1[[#This Row],[Tenure]]&lt;5,5%,10%))*staff1[[#This Row],[Salary]]</f>
        <v>2832.9770000000003</v>
      </c>
    </row>
    <row r="160" spans="2:16" x14ac:dyDescent="0.25">
      <c r="B160" t="s">
        <v>471</v>
      </c>
      <c r="C160" t="s">
        <v>472</v>
      </c>
      <c r="D160" t="s">
        <v>473</v>
      </c>
      <c r="E160" t="s">
        <v>190</v>
      </c>
      <c r="F160" t="s">
        <v>64</v>
      </c>
      <c r="G160" s="6">
        <v>67957.899999999994</v>
      </c>
      <c r="H160" t="s">
        <v>18</v>
      </c>
      <c r="I160" s="1">
        <v>43430</v>
      </c>
      <c r="J160">
        <v>1</v>
      </c>
      <c r="K160" t="s">
        <v>19</v>
      </c>
      <c r="L160" t="s">
        <v>72</v>
      </c>
      <c r="M160">
        <v>5.5726027397260278</v>
      </c>
      <c r="N160" t="s">
        <v>27</v>
      </c>
      <c r="O160" s="6">
        <f>staff1[[#This Row],[Salary]]*5%</f>
        <v>3397.895</v>
      </c>
      <c r="P160" s="6">
        <f>IF(staff1[[#This Row],[Tenure]]&lt;3,2%,IF(staff1[[#This Row],[Tenure]]&lt;5,5%,10%))*staff1[[#This Row],[Salary]]</f>
        <v>6795.79</v>
      </c>
    </row>
    <row r="161" spans="2:16" x14ac:dyDescent="0.25">
      <c r="B161" t="s">
        <v>474</v>
      </c>
      <c r="C161" t="s">
        <v>475</v>
      </c>
      <c r="D161" t="s">
        <v>476</v>
      </c>
      <c r="E161" t="s">
        <v>16</v>
      </c>
      <c r="F161" t="s">
        <v>53</v>
      </c>
      <c r="G161" s="6">
        <v>69163.39</v>
      </c>
      <c r="H161" t="s">
        <v>18</v>
      </c>
      <c r="I161" s="1">
        <v>43397</v>
      </c>
      <c r="J161">
        <v>1</v>
      </c>
      <c r="K161" t="s">
        <v>19</v>
      </c>
      <c r="L161" t="s">
        <v>38</v>
      </c>
      <c r="M161">
        <v>5.6630136986301371</v>
      </c>
      <c r="N161" t="s">
        <v>27</v>
      </c>
      <c r="O161" s="6">
        <f>staff1[[#This Row],[Salary]]*5%</f>
        <v>3458.1695</v>
      </c>
      <c r="P161" s="6">
        <f>IF(staff1[[#This Row],[Tenure]]&lt;3,2%,IF(staff1[[#This Row],[Tenure]]&lt;5,5%,10%))*staff1[[#This Row],[Salary]]</f>
        <v>6916.3389999999999</v>
      </c>
    </row>
    <row r="162" spans="2:16" x14ac:dyDescent="0.25">
      <c r="B162" t="s">
        <v>474</v>
      </c>
      <c r="C162" t="s">
        <v>475</v>
      </c>
      <c r="D162" t="s">
        <v>476</v>
      </c>
      <c r="E162" t="s">
        <v>16</v>
      </c>
      <c r="F162" t="s">
        <v>53</v>
      </c>
      <c r="G162" s="6">
        <v>69163.39</v>
      </c>
      <c r="H162" t="s">
        <v>18</v>
      </c>
      <c r="I162" s="1">
        <v>43397</v>
      </c>
      <c r="J162">
        <v>1</v>
      </c>
      <c r="K162" t="s">
        <v>19</v>
      </c>
      <c r="L162" t="s">
        <v>38</v>
      </c>
      <c r="M162">
        <v>5.6630136986301371</v>
      </c>
      <c r="N162" t="s">
        <v>27</v>
      </c>
      <c r="O162" s="6">
        <f>staff1[[#This Row],[Salary]]*5%</f>
        <v>3458.1695</v>
      </c>
      <c r="P162" s="6">
        <f>IF(staff1[[#This Row],[Tenure]]&lt;3,2%,IF(staff1[[#This Row],[Tenure]]&lt;5,5%,10%))*staff1[[#This Row],[Salary]]</f>
        <v>6916.3389999999999</v>
      </c>
    </row>
    <row r="163" spans="2:16" x14ac:dyDescent="0.25">
      <c r="B163" t="s">
        <v>477</v>
      </c>
      <c r="C163" t="s">
        <v>478</v>
      </c>
      <c r="D163" t="s">
        <v>479</v>
      </c>
      <c r="E163" t="s">
        <v>35</v>
      </c>
      <c r="F163" t="s">
        <v>126</v>
      </c>
      <c r="G163" s="6">
        <v>96753.78</v>
      </c>
      <c r="H163" t="s">
        <v>18</v>
      </c>
      <c r="I163" s="1">
        <v>44494</v>
      </c>
      <c r="J163">
        <v>1</v>
      </c>
      <c r="K163" t="s">
        <v>19</v>
      </c>
      <c r="L163" t="s">
        <v>80</v>
      </c>
      <c r="M163">
        <v>2.6575342465753424</v>
      </c>
      <c r="N163" t="s">
        <v>27</v>
      </c>
      <c r="O163" s="6">
        <f>staff1[[#This Row],[Salary]]*5%</f>
        <v>4837.6890000000003</v>
      </c>
      <c r="P163" s="6">
        <f>IF(staff1[[#This Row],[Tenure]]&lt;3,2%,IF(staff1[[#This Row],[Tenure]]&lt;5,5%,10%))*staff1[[#This Row],[Salary]]</f>
        <v>1935.0756000000001</v>
      </c>
    </row>
    <row r="164" spans="2:16" x14ac:dyDescent="0.25">
      <c r="B164" t="s">
        <v>477</v>
      </c>
      <c r="C164" t="s">
        <v>478</v>
      </c>
      <c r="D164" t="s">
        <v>479</v>
      </c>
      <c r="E164" t="s">
        <v>35</v>
      </c>
      <c r="F164" t="s">
        <v>126</v>
      </c>
      <c r="G164" s="6">
        <v>96753.78</v>
      </c>
      <c r="H164" t="s">
        <v>18</v>
      </c>
      <c r="I164" s="1">
        <v>44494</v>
      </c>
      <c r="J164">
        <v>1</v>
      </c>
      <c r="K164" t="s">
        <v>19</v>
      </c>
      <c r="L164" t="s">
        <v>80</v>
      </c>
      <c r="M164">
        <v>2.6575342465753424</v>
      </c>
      <c r="N164" t="s">
        <v>27</v>
      </c>
      <c r="O164" s="6">
        <f>staff1[[#This Row],[Salary]]*5%</f>
        <v>4837.6890000000003</v>
      </c>
      <c r="P164" s="6">
        <f>IF(staff1[[#This Row],[Tenure]]&lt;3,2%,IF(staff1[[#This Row],[Tenure]]&lt;5,5%,10%))*staff1[[#This Row],[Salary]]</f>
        <v>1935.0756000000001</v>
      </c>
    </row>
    <row r="165" spans="2:16" x14ac:dyDescent="0.25">
      <c r="B165" t="s">
        <v>480</v>
      </c>
      <c r="C165" t="s">
        <v>481</v>
      </c>
      <c r="D165" t="s">
        <v>482</v>
      </c>
      <c r="E165" t="s">
        <v>16</v>
      </c>
      <c r="F165" t="s">
        <v>116</v>
      </c>
      <c r="G165" s="6">
        <v>28974.03</v>
      </c>
      <c r="H165" t="s">
        <v>57</v>
      </c>
      <c r="I165" s="1">
        <v>43733</v>
      </c>
      <c r="J165">
        <v>1</v>
      </c>
      <c r="K165" t="s">
        <v>19</v>
      </c>
      <c r="L165" t="s">
        <v>80</v>
      </c>
      <c r="M165">
        <v>4.7424657534246579</v>
      </c>
      <c r="N165" t="s">
        <v>27</v>
      </c>
      <c r="O165" s="6">
        <f>staff1[[#This Row],[Salary]]*5%</f>
        <v>1448.7015000000001</v>
      </c>
      <c r="P165" s="6">
        <f>IF(staff1[[#This Row],[Tenure]]&lt;3,2%,IF(staff1[[#This Row],[Tenure]]&lt;5,5%,10%))*staff1[[#This Row],[Salary]]</f>
        <v>1448.7015000000001</v>
      </c>
    </row>
    <row r="166" spans="2:16" x14ac:dyDescent="0.25">
      <c r="B166" t="s">
        <v>483</v>
      </c>
      <c r="C166" t="s">
        <v>484</v>
      </c>
      <c r="D166" t="s">
        <v>485</v>
      </c>
      <c r="E166" t="s">
        <v>16</v>
      </c>
      <c r="F166" t="s">
        <v>17</v>
      </c>
      <c r="G166" s="6">
        <v>57002.02</v>
      </c>
      <c r="H166" t="s">
        <v>18</v>
      </c>
      <c r="I166" s="1">
        <v>43192</v>
      </c>
      <c r="J166">
        <v>0.7</v>
      </c>
      <c r="K166" t="s">
        <v>19</v>
      </c>
      <c r="L166" t="s">
        <v>26</v>
      </c>
      <c r="M166">
        <v>6.2246575342465755</v>
      </c>
      <c r="N166" t="s">
        <v>21</v>
      </c>
      <c r="O166" s="6">
        <f>staff1[[#This Row],[Salary]]*5%</f>
        <v>2850.1010000000001</v>
      </c>
      <c r="P166" s="6">
        <f>IF(staff1[[#This Row],[Tenure]]&lt;3,2%,IF(staff1[[#This Row],[Tenure]]&lt;5,5%,10%))*staff1[[#This Row],[Salary]]</f>
        <v>5700.2020000000002</v>
      </c>
    </row>
    <row r="167" spans="2:16" x14ac:dyDescent="0.25">
      <c r="B167" t="s">
        <v>486</v>
      </c>
      <c r="C167" t="s">
        <v>487</v>
      </c>
      <c r="D167" t="s">
        <v>488</v>
      </c>
      <c r="E167" t="s">
        <v>16</v>
      </c>
      <c r="F167" t="s">
        <v>25</v>
      </c>
      <c r="G167" s="6">
        <v>33031.26</v>
      </c>
      <c r="H167" t="s">
        <v>57</v>
      </c>
      <c r="I167" s="1">
        <v>43468</v>
      </c>
      <c r="J167">
        <v>0.4</v>
      </c>
      <c r="K167" t="s">
        <v>19</v>
      </c>
      <c r="L167" t="s">
        <v>26</v>
      </c>
      <c r="M167">
        <v>5.4684931506849317</v>
      </c>
      <c r="N167" t="s">
        <v>21</v>
      </c>
      <c r="O167" s="6">
        <f>staff1[[#This Row],[Salary]]*5%</f>
        <v>1651.5630000000001</v>
      </c>
      <c r="P167" s="6">
        <f>IF(staff1[[#This Row],[Tenure]]&lt;3,2%,IF(staff1[[#This Row],[Tenure]]&lt;5,5%,10%))*staff1[[#This Row],[Salary]]</f>
        <v>3303.1260000000002</v>
      </c>
    </row>
    <row r="168" spans="2:16" x14ac:dyDescent="0.25">
      <c r="B168" t="s">
        <v>489</v>
      </c>
      <c r="C168" t="s">
        <v>490</v>
      </c>
      <c r="D168" t="s">
        <v>491</v>
      </c>
      <c r="E168" t="s">
        <v>16</v>
      </c>
      <c r="F168" t="s">
        <v>126</v>
      </c>
      <c r="G168" s="6">
        <v>84762.76</v>
      </c>
      <c r="H168" t="s">
        <v>18</v>
      </c>
      <c r="I168" s="1">
        <v>43332</v>
      </c>
      <c r="J168">
        <v>1</v>
      </c>
      <c r="K168" t="s">
        <v>19</v>
      </c>
      <c r="L168" t="s">
        <v>26</v>
      </c>
      <c r="M168">
        <v>5.8410958904109593</v>
      </c>
      <c r="N168" t="s">
        <v>27</v>
      </c>
      <c r="O168" s="6">
        <f>staff1[[#This Row],[Salary]]*5%</f>
        <v>4238.1379999999999</v>
      </c>
      <c r="P168" s="6">
        <f>IF(staff1[[#This Row],[Tenure]]&lt;3,2%,IF(staff1[[#This Row],[Tenure]]&lt;5,5%,10%))*staff1[[#This Row],[Salary]]</f>
        <v>8476.2759999999998</v>
      </c>
    </row>
    <row r="169" spans="2:16" x14ac:dyDescent="0.25">
      <c r="B169" t="s">
        <v>492</v>
      </c>
      <c r="C169" t="s">
        <v>493</v>
      </c>
      <c r="D169" t="s">
        <v>494</v>
      </c>
      <c r="E169" t="s">
        <v>35</v>
      </c>
      <c r="F169" t="s">
        <v>36</v>
      </c>
      <c r="G169" s="6">
        <v>92943.89</v>
      </c>
      <c r="H169" t="s">
        <v>18</v>
      </c>
      <c r="I169" s="1">
        <v>44510</v>
      </c>
      <c r="J169">
        <v>1</v>
      </c>
      <c r="K169" t="s">
        <v>19</v>
      </c>
      <c r="L169" t="s">
        <v>26</v>
      </c>
      <c r="M169">
        <v>2.6136986301369864</v>
      </c>
      <c r="N169" t="s">
        <v>27</v>
      </c>
      <c r="O169" s="6">
        <f>staff1[[#This Row],[Salary]]*5%</f>
        <v>4647.1945000000005</v>
      </c>
      <c r="P169" s="6">
        <f>IF(staff1[[#This Row],[Tenure]]&lt;3,2%,IF(staff1[[#This Row],[Tenure]]&lt;5,5%,10%))*staff1[[#This Row],[Salary]]</f>
        <v>1858.8778</v>
      </c>
    </row>
    <row r="170" spans="2:16" x14ac:dyDescent="0.25">
      <c r="B170" t="s">
        <v>495</v>
      </c>
      <c r="C170" t="s">
        <v>496</v>
      </c>
      <c r="D170" t="s">
        <v>497</v>
      </c>
      <c r="E170" t="s">
        <v>16</v>
      </c>
      <c r="F170" t="s">
        <v>68</v>
      </c>
      <c r="G170" s="6">
        <v>39700.82</v>
      </c>
      <c r="H170" t="s">
        <v>57</v>
      </c>
      <c r="I170" s="1">
        <v>44203</v>
      </c>
      <c r="J170">
        <v>0.8</v>
      </c>
      <c r="K170" t="s">
        <v>19</v>
      </c>
      <c r="L170" t="s">
        <v>72</v>
      </c>
      <c r="M170">
        <v>3.4547945205479453</v>
      </c>
      <c r="N170" t="s">
        <v>21</v>
      </c>
      <c r="O170" s="6">
        <f>staff1[[#This Row],[Salary]]*5%</f>
        <v>1985.0410000000002</v>
      </c>
      <c r="P170" s="6">
        <f>IF(staff1[[#This Row],[Tenure]]&lt;3,2%,IF(staff1[[#This Row],[Tenure]]&lt;5,5%,10%))*staff1[[#This Row],[Salary]]</f>
        <v>1985.0410000000002</v>
      </c>
    </row>
    <row r="171" spans="2:16" x14ac:dyDescent="0.25">
      <c r="B171" t="s">
        <v>495</v>
      </c>
      <c r="C171" t="s">
        <v>71</v>
      </c>
      <c r="D171" t="s">
        <v>498</v>
      </c>
      <c r="E171" t="s">
        <v>16</v>
      </c>
      <c r="F171" t="s">
        <v>68</v>
      </c>
      <c r="G171" s="6">
        <v>39700.82</v>
      </c>
      <c r="H171" t="s">
        <v>57</v>
      </c>
      <c r="I171" s="1">
        <v>44203</v>
      </c>
      <c r="J171">
        <v>0.8</v>
      </c>
      <c r="K171" t="s">
        <v>19</v>
      </c>
      <c r="L171" t="s">
        <v>72</v>
      </c>
      <c r="M171">
        <v>3.4547945205479453</v>
      </c>
      <c r="N171" t="s">
        <v>21</v>
      </c>
      <c r="O171" s="6">
        <f>staff1[[#This Row],[Salary]]*5%</f>
        <v>1985.0410000000002</v>
      </c>
      <c r="P171" s="6">
        <f>IF(staff1[[#This Row],[Tenure]]&lt;3,2%,IF(staff1[[#This Row],[Tenure]]&lt;5,5%,10%))*staff1[[#This Row],[Salary]]</f>
        <v>1985.0410000000002</v>
      </c>
    </row>
    <row r="172" spans="2:16" x14ac:dyDescent="0.25">
      <c r="B172" t="s">
        <v>499</v>
      </c>
      <c r="C172" t="s">
        <v>500</v>
      </c>
      <c r="D172" t="s">
        <v>501</v>
      </c>
      <c r="E172" t="s">
        <v>35</v>
      </c>
      <c r="F172" t="s">
        <v>25</v>
      </c>
      <c r="G172" s="6">
        <v>39784.239999999998</v>
      </c>
      <c r="H172" t="s">
        <v>57</v>
      </c>
      <c r="I172" s="1">
        <v>43465</v>
      </c>
      <c r="J172">
        <v>1</v>
      </c>
      <c r="K172" t="s">
        <v>502</v>
      </c>
      <c r="L172" t="s">
        <v>72</v>
      </c>
      <c r="M172">
        <v>5.4767123287671229</v>
      </c>
      <c r="N172" t="s">
        <v>27</v>
      </c>
      <c r="O172" s="6">
        <f>staff1[[#This Row],[Salary]]*5%</f>
        <v>1989.212</v>
      </c>
      <c r="P172" s="6">
        <f>IF(staff1[[#This Row],[Tenure]]&lt;3,2%,IF(staff1[[#This Row],[Tenure]]&lt;5,5%,10%))*staff1[[#This Row],[Salary]]</f>
        <v>3978.424</v>
      </c>
    </row>
    <row r="173" spans="2:16" x14ac:dyDescent="0.25">
      <c r="B173" t="s">
        <v>503</v>
      </c>
      <c r="C173" t="s">
        <v>504</v>
      </c>
      <c r="D173" t="s">
        <v>505</v>
      </c>
      <c r="E173" t="s">
        <v>35</v>
      </c>
      <c r="F173" t="s">
        <v>42</v>
      </c>
      <c r="G173" s="6">
        <v>31816.57</v>
      </c>
      <c r="H173" t="s">
        <v>57</v>
      </c>
      <c r="I173" s="1">
        <v>43497</v>
      </c>
      <c r="J173">
        <v>0.3</v>
      </c>
      <c r="K173" t="s">
        <v>502</v>
      </c>
      <c r="L173" t="s">
        <v>38</v>
      </c>
      <c r="M173">
        <v>5.3890410958904109</v>
      </c>
      <c r="N173" t="s">
        <v>21</v>
      </c>
      <c r="O173" s="6">
        <f>staff1[[#This Row],[Salary]]*5%</f>
        <v>1590.8285000000001</v>
      </c>
      <c r="P173" s="6">
        <f>IF(staff1[[#This Row],[Tenure]]&lt;3,2%,IF(staff1[[#This Row],[Tenure]]&lt;5,5%,10%))*staff1[[#This Row],[Salary]]</f>
        <v>3181.6570000000002</v>
      </c>
    </row>
    <row r="174" spans="2:16" x14ac:dyDescent="0.25">
      <c r="B174" t="s">
        <v>506</v>
      </c>
      <c r="C174" t="s">
        <v>507</v>
      </c>
      <c r="D174" t="s">
        <v>508</v>
      </c>
      <c r="E174" t="s">
        <v>16</v>
      </c>
      <c r="F174" t="s">
        <v>94</v>
      </c>
      <c r="G174" s="6">
        <v>67818.14</v>
      </c>
      <c r="H174" t="s">
        <v>18</v>
      </c>
      <c r="I174" s="1">
        <v>43406</v>
      </c>
      <c r="J174">
        <v>0.6</v>
      </c>
      <c r="K174" t="s">
        <v>502</v>
      </c>
      <c r="L174" t="s">
        <v>38</v>
      </c>
      <c r="M174">
        <v>5.6383561643835618</v>
      </c>
      <c r="N174" t="s">
        <v>21</v>
      </c>
      <c r="O174" s="6">
        <f>staff1[[#This Row],[Salary]]*5%</f>
        <v>3390.9070000000002</v>
      </c>
      <c r="P174" s="6">
        <f>IF(staff1[[#This Row],[Tenure]]&lt;3,2%,IF(staff1[[#This Row],[Tenure]]&lt;5,5%,10%))*staff1[[#This Row],[Salary]]</f>
        <v>6781.8140000000003</v>
      </c>
    </row>
    <row r="175" spans="2:16" x14ac:dyDescent="0.25">
      <c r="B175" t="s">
        <v>506</v>
      </c>
      <c r="C175" t="s">
        <v>507</v>
      </c>
      <c r="D175" t="s">
        <v>508</v>
      </c>
      <c r="E175" t="s">
        <v>16</v>
      </c>
      <c r="F175" t="s">
        <v>94</v>
      </c>
      <c r="G175" s="6">
        <v>67818.14</v>
      </c>
      <c r="H175" t="s">
        <v>18</v>
      </c>
      <c r="I175" s="1">
        <v>43406</v>
      </c>
      <c r="J175">
        <v>0.6</v>
      </c>
      <c r="K175" t="s">
        <v>502</v>
      </c>
      <c r="L175" t="s">
        <v>38</v>
      </c>
      <c r="M175">
        <v>5.6383561643835618</v>
      </c>
      <c r="N175" t="s">
        <v>21</v>
      </c>
      <c r="O175" s="6">
        <f>staff1[[#This Row],[Salary]]*5%</f>
        <v>3390.9070000000002</v>
      </c>
      <c r="P175" s="6">
        <f>IF(staff1[[#This Row],[Tenure]]&lt;3,2%,IF(staff1[[#This Row],[Tenure]]&lt;5,5%,10%))*staff1[[#This Row],[Salary]]</f>
        <v>6781.8140000000003</v>
      </c>
    </row>
    <row r="176" spans="2:16" x14ac:dyDescent="0.25">
      <c r="B176" t="s">
        <v>509</v>
      </c>
      <c r="C176" t="s">
        <v>510</v>
      </c>
      <c r="D176" t="s">
        <v>511</v>
      </c>
      <c r="E176" t="s">
        <v>35</v>
      </c>
      <c r="F176" t="s">
        <v>17</v>
      </c>
      <c r="G176" s="6">
        <v>79567.69</v>
      </c>
      <c r="H176" t="s">
        <v>18</v>
      </c>
      <c r="I176" s="1">
        <v>43272</v>
      </c>
      <c r="J176">
        <v>1</v>
      </c>
      <c r="K176" t="s">
        <v>502</v>
      </c>
      <c r="L176" t="s">
        <v>72</v>
      </c>
      <c r="M176">
        <v>6.0054794520547947</v>
      </c>
      <c r="N176" t="s">
        <v>27</v>
      </c>
      <c r="O176" s="6">
        <f>staff1[[#This Row],[Salary]]*5%</f>
        <v>3978.3845000000001</v>
      </c>
      <c r="P176" s="6">
        <f>IF(staff1[[#This Row],[Tenure]]&lt;3,2%,IF(staff1[[#This Row],[Tenure]]&lt;5,5%,10%))*staff1[[#This Row],[Salary]]</f>
        <v>7956.7690000000002</v>
      </c>
    </row>
    <row r="177" spans="2:16" x14ac:dyDescent="0.25">
      <c r="B177" t="s">
        <v>512</v>
      </c>
      <c r="C177" t="s">
        <v>161</v>
      </c>
      <c r="D177" t="s">
        <v>162</v>
      </c>
      <c r="E177" t="s">
        <v>35</v>
      </c>
      <c r="F177" t="s">
        <v>64</v>
      </c>
      <c r="G177" s="6">
        <v>72876.91</v>
      </c>
      <c r="H177" t="s">
        <v>18</v>
      </c>
      <c r="I177" s="1">
        <v>43612</v>
      </c>
      <c r="J177">
        <v>0.4</v>
      </c>
      <c r="K177" t="s">
        <v>502</v>
      </c>
      <c r="L177" t="s">
        <v>80</v>
      </c>
      <c r="M177">
        <v>5.0739726027397261</v>
      </c>
      <c r="N177" t="s">
        <v>21</v>
      </c>
      <c r="O177" s="6">
        <f>staff1[[#This Row],[Salary]]*5%</f>
        <v>3643.8455000000004</v>
      </c>
      <c r="P177" s="6">
        <f>IF(staff1[[#This Row],[Tenure]]&lt;3,2%,IF(staff1[[#This Row],[Tenure]]&lt;5,5%,10%))*staff1[[#This Row],[Salary]]</f>
        <v>7287.6910000000007</v>
      </c>
    </row>
    <row r="178" spans="2:16" x14ac:dyDescent="0.25">
      <c r="B178" t="s">
        <v>513</v>
      </c>
      <c r="C178" t="s">
        <v>514</v>
      </c>
      <c r="D178" t="s">
        <v>515</v>
      </c>
      <c r="E178" t="s">
        <v>35</v>
      </c>
      <c r="F178" t="s">
        <v>68</v>
      </c>
      <c r="G178" s="6">
        <v>78705.929999999993</v>
      </c>
      <c r="H178" t="s">
        <v>18</v>
      </c>
      <c r="I178" s="1">
        <v>43409</v>
      </c>
      <c r="J178">
        <v>1</v>
      </c>
      <c r="K178" t="s">
        <v>502</v>
      </c>
      <c r="L178" t="s">
        <v>76</v>
      </c>
      <c r="M178">
        <v>5.6301369863013697</v>
      </c>
      <c r="N178" t="s">
        <v>27</v>
      </c>
      <c r="O178" s="6">
        <f>staff1[[#This Row],[Salary]]*5%</f>
        <v>3935.2964999999999</v>
      </c>
      <c r="P178" s="6">
        <f>IF(staff1[[#This Row],[Tenure]]&lt;3,2%,IF(staff1[[#This Row],[Tenure]]&lt;5,5%,10%))*staff1[[#This Row],[Salary]]</f>
        <v>7870.5929999999998</v>
      </c>
    </row>
    <row r="179" spans="2:16" x14ac:dyDescent="0.25">
      <c r="B179" t="s">
        <v>516</v>
      </c>
      <c r="C179" t="s">
        <v>517</v>
      </c>
      <c r="D179" t="s">
        <v>518</v>
      </c>
      <c r="E179" t="s">
        <v>35</v>
      </c>
      <c r="F179" t="s">
        <v>36</v>
      </c>
      <c r="G179" s="6">
        <v>43329.22</v>
      </c>
      <c r="H179" t="s">
        <v>57</v>
      </c>
      <c r="I179" s="1">
        <v>43809</v>
      </c>
      <c r="J179">
        <v>0.5</v>
      </c>
      <c r="K179" t="s">
        <v>502</v>
      </c>
      <c r="L179" t="s">
        <v>38</v>
      </c>
      <c r="M179">
        <v>4.5342465753424657</v>
      </c>
      <c r="N179" t="s">
        <v>21</v>
      </c>
      <c r="O179" s="6">
        <f>staff1[[#This Row],[Salary]]*5%</f>
        <v>2166.4610000000002</v>
      </c>
      <c r="P179" s="6">
        <f>IF(staff1[[#This Row],[Tenure]]&lt;3,2%,IF(staff1[[#This Row],[Tenure]]&lt;5,5%,10%))*staff1[[#This Row],[Salary]]</f>
        <v>2166.4610000000002</v>
      </c>
    </row>
    <row r="180" spans="2:16" x14ac:dyDescent="0.25">
      <c r="B180" t="s">
        <v>519</v>
      </c>
      <c r="C180" t="s">
        <v>520</v>
      </c>
      <c r="D180" t="s">
        <v>521</v>
      </c>
      <c r="E180" t="s">
        <v>16</v>
      </c>
      <c r="F180" t="s">
        <v>68</v>
      </c>
      <c r="G180" s="6">
        <v>99683.67</v>
      </c>
      <c r="H180" t="s">
        <v>18</v>
      </c>
      <c r="I180" s="1">
        <v>43500</v>
      </c>
      <c r="J180">
        <v>1</v>
      </c>
      <c r="K180" t="s">
        <v>502</v>
      </c>
      <c r="L180" t="s">
        <v>76</v>
      </c>
      <c r="M180">
        <v>5.3808219178082188</v>
      </c>
      <c r="N180" t="s">
        <v>27</v>
      </c>
      <c r="O180" s="6">
        <f>staff1[[#This Row],[Salary]]*5%</f>
        <v>4984.1835000000001</v>
      </c>
      <c r="P180" s="6">
        <f>IF(staff1[[#This Row],[Tenure]]&lt;3,2%,IF(staff1[[#This Row],[Tenure]]&lt;5,5%,10%))*staff1[[#This Row],[Salary]]</f>
        <v>9968.3670000000002</v>
      </c>
    </row>
    <row r="181" spans="2:16" x14ac:dyDescent="0.25">
      <c r="B181" t="s">
        <v>519</v>
      </c>
      <c r="C181" t="s">
        <v>520</v>
      </c>
      <c r="D181" t="s">
        <v>521</v>
      </c>
      <c r="E181" t="s">
        <v>16</v>
      </c>
      <c r="F181" t="s">
        <v>68</v>
      </c>
      <c r="G181" s="6">
        <v>99683.67</v>
      </c>
      <c r="H181" t="s">
        <v>18</v>
      </c>
      <c r="I181" s="1">
        <v>43500</v>
      </c>
      <c r="J181">
        <v>1</v>
      </c>
      <c r="K181" t="s">
        <v>502</v>
      </c>
      <c r="L181" t="s">
        <v>76</v>
      </c>
      <c r="M181">
        <v>5.3808219178082188</v>
      </c>
      <c r="N181" t="s">
        <v>27</v>
      </c>
      <c r="O181" s="6">
        <f>staff1[[#This Row],[Salary]]*5%</f>
        <v>4984.1835000000001</v>
      </c>
      <c r="P181" s="6">
        <f>IF(staff1[[#This Row],[Tenure]]&lt;3,2%,IF(staff1[[#This Row],[Tenure]]&lt;5,5%,10%))*staff1[[#This Row],[Salary]]</f>
        <v>9968.3670000000002</v>
      </c>
    </row>
    <row r="182" spans="2:16" x14ac:dyDescent="0.25">
      <c r="B182" t="s">
        <v>522</v>
      </c>
      <c r="C182" t="s">
        <v>523</v>
      </c>
      <c r="D182" t="s">
        <v>524</v>
      </c>
      <c r="E182" t="s">
        <v>35</v>
      </c>
      <c r="F182" t="s">
        <v>94</v>
      </c>
      <c r="G182" s="6">
        <v>106775.14</v>
      </c>
      <c r="H182" t="s">
        <v>37</v>
      </c>
      <c r="I182" s="1">
        <v>43563</v>
      </c>
      <c r="J182">
        <v>1</v>
      </c>
      <c r="K182" t="s">
        <v>502</v>
      </c>
      <c r="L182" t="s">
        <v>26</v>
      </c>
      <c r="M182">
        <v>5.2082191780821914</v>
      </c>
      <c r="N182" t="s">
        <v>27</v>
      </c>
      <c r="O182" s="6">
        <f>staff1[[#This Row],[Salary]]*5%</f>
        <v>5338.7570000000005</v>
      </c>
      <c r="P182" s="6">
        <f>IF(staff1[[#This Row],[Tenure]]&lt;3,2%,IF(staff1[[#This Row],[Tenure]]&lt;5,5%,10%))*staff1[[#This Row],[Salary]]</f>
        <v>10677.514000000001</v>
      </c>
    </row>
    <row r="183" spans="2:16" x14ac:dyDescent="0.25">
      <c r="B183" t="s">
        <v>522</v>
      </c>
      <c r="C183" t="s">
        <v>525</v>
      </c>
      <c r="D183" t="s">
        <v>526</v>
      </c>
      <c r="E183" t="s">
        <v>35</v>
      </c>
      <c r="F183" t="s">
        <v>94</v>
      </c>
      <c r="G183" s="6">
        <v>106775.14</v>
      </c>
      <c r="H183" t="s">
        <v>37</v>
      </c>
      <c r="I183" s="1">
        <v>43563</v>
      </c>
      <c r="J183">
        <v>1</v>
      </c>
      <c r="K183" t="s">
        <v>502</v>
      </c>
      <c r="L183" t="s">
        <v>26</v>
      </c>
      <c r="M183">
        <v>5.2082191780821914</v>
      </c>
      <c r="N183" t="s">
        <v>27</v>
      </c>
      <c r="O183" s="6">
        <f>staff1[[#This Row],[Salary]]*5%</f>
        <v>5338.7570000000005</v>
      </c>
      <c r="P183" s="6">
        <f>IF(staff1[[#This Row],[Tenure]]&lt;3,2%,IF(staff1[[#This Row],[Tenure]]&lt;5,5%,10%))*staff1[[#This Row],[Salary]]</f>
        <v>10677.514000000001</v>
      </c>
    </row>
    <row r="184" spans="2:16" x14ac:dyDescent="0.25">
      <c r="B184" t="s">
        <v>527</v>
      </c>
      <c r="C184" t="s">
        <v>528</v>
      </c>
      <c r="D184" t="s">
        <v>529</v>
      </c>
      <c r="E184" t="s">
        <v>16</v>
      </c>
      <c r="F184" t="s">
        <v>64</v>
      </c>
      <c r="G184" s="6">
        <v>73488.679999999993</v>
      </c>
      <c r="H184" t="s">
        <v>18</v>
      </c>
      <c r="I184" s="1">
        <v>43570</v>
      </c>
      <c r="J184">
        <v>1</v>
      </c>
      <c r="K184" t="s">
        <v>502</v>
      </c>
      <c r="L184" t="s">
        <v>76</v>
      </c>
      <c r="M184">
        <v>5.1890410958904107</v>
      </c>
      <c r="N184" t="s">
        <v>27</v>
      </c>
      <c r="O184" s="6">
        <f>staff1[[#This Row],[Salary]]*5%</f>
        <v>3674.4339999999997</v>
      </c>
      <c r="P184" s="6">
        <f>IF(staff1[[#This Row],[Tenure]]&lt;3,2%,IF(staff1[[#This Row],[Tenure]]&lt;5,5%,10%))*staff1[[#This Row],[Salary]]</f>
        <v>7348.8679999999995</v>
      </c>
    </row>
    <row r="185" spans="2:16" x14ac:dyDescent="0.25">
      <c r="B185" t="s">
        <v>530</v>
      </c>
      <c r="C185" t="s">
        <v>531</v>
      </c>
      <c r="D185" t="s">
        <v>532</v>
      </c>
      <c r="E185" t="s">
        <v>35</v>
      </c>
      <c r="F185" t="s">
        <v>49</v>
      </c>
      <c r="G185" s="6">
        <v>72843.23</v>
      </c>
      <c r="H185" t="s">
        <v>18</v>
      </c>
      <c r="I185" s="1">
        <v>43280</v>
      </c>
      <c r="J185">
        <v>1</v>
      </c>
      <c r="K185" t="s">
        <v>502</v>
      </c>
      <c r="L185" t="s">
        <v>20</v>
      </c>
      <c r="M185" s="2">
        <v>5.9835616438356167</v>
      </c>
      <c r="N185" t="s">
        <v>27</v>
      </c>
      <c r="O185" s="6">
        <f>staff1[[#This Row],[Salary]]*5%</f>
        <v>3642.1615000000002</v>
      </c>
      <c r="P185" s="6">
        <f>IF(staff1[[#This Row],[Tenure]]&lt;3,2%,IF(staff1[[#This Row],[Tenure]]&lt;5,5%,10%))*staff1[[#This Row],[Salary]]</f>
        <v>7284.3230000000003</v>
      </c>
    </row>
    <row r="186" spans="2:16" x14ac:dyDescent="0.25">
      <c r="B186" t="s">
        <v>533</v>
      </c>
      <c r="C186" t="s">
        <v>534</v>
      </c>
      <c r="D186" t="s">
        <v>535</v>
      </c>
      <c r="E186" t="s">
        <v>16</v>
      </c>
      <c r="F186" t="s">
        <v>94</v>
      </c>
      <c r="G186" s="6">
        <v>91929.69</v>
      </c>
      <c r="H186" t="s">
        <v>18</v>
      </c>
      <c r="I186" s="1">
        <v>44085</v>
      </c>
      <c r="J186">
        <v>1</v>
      </c>
      <c r="K186" t="s">
        <v>502</v>
      </c>
      <c r="L186" t="s">
        <v>38</v>
      </c>
      <c r="M186">
        <v>3.7780821917808218</v>
      </c>
      <c r="N186" t="s">
        <v>27</v>
      </c>
      <c r="O186" s="6">
        <f>staff1[[#This Row],[Salary]]*5%</f>
        <v>4596.4845000000005</v>
      </c>
      <c r="P186" s="6">
        <f>IF(staff1[[#This Row],[Tenure]]&lt;3,2%,IF(staff1[[#This Row],[Tenure]]&lt;5,5%,10%))*staff1[[#This Row],[Salary]]</f>
        <v>4596.4845000000005</v>
      </c>
    </row>
    <row r="187" spans="2:16" x14ac:dyDescent="0.25">
      <c r="B187" t="s">
        <v>536</v>
      </c>
      <c r="C187" t="s">
        <v>537</v>
      </c>
      <c r="D187" t="s">
        <v>538</v>
      </c>
      <c r="E187" t="s">
        <v>16</v>
      </c>
      <c r="F187" t="s">
        <v>64</v>
      </c>
      <c r="G187" s="6">
        <v>92704.48</v>
      </c>
      <c r="H187" t="s">
        <v>18</v>
      </c>
      <c r="I187" s="1">
        <v>43430</v>
      </c>
      <c r="J187">
        <v>1</v>
      </c>
      <c r="K187" t="s">
        <v>502</v>
      </c>
      <c r="L187" t="s">
        <v>31</v>
      </c>
      <c r="M187">
        <v>5.5726027397260278</v>
      </c>
      <c r="N187" t="s">
        <v>27</v>
      </c>
      <c r="O187" s="6">
        <f>staff1[[#This Row],[Salary]]*5%</f>
        <v>4635.2240000000002</v>
      </c>
      <c r="P187" s="6">
        <f>IF(staff1[[#This Row],[Tenure]]&lt;3,2%,IF(staff1[[#This Row],[Tenure]]&lt;5,5%,10%))*staff1[[#This Row],[Salary]]</f>
        <v>9270.4480000000003</v>
      </c>
    </row>
    <row r="188" spans="2:16" x14ac:dyDescent="0.25">
      <c r="B188" t="s">
        <v>539</v>
      </c>
      <c r="C188" t="s">
        <v>540</v>
      </c>
      <c r="D188" t="s">
        <v>541</v>
      </c>
      <c r="E188" t="s">
        <v>16</v>
      </c>
      <c r="F188" t="s">
        <v>116</v>
      </c>
      <c r="G188" s="6">
        <v>100371.31</v>
      </c>
      <c r="H188" t="s">
        <v>37</v>
      </c>
      <c r="I188" s="1">
        <v>44067</v>
      </c>
      <c r="J188">
        <v>0.8</v>
      </c>
      <c r="K188" t="s">
        <v>502</v>
      </c>
      <c r="L188" t="s">
        <v>80</v>
      </c>
      <c r="M188">
        <v>3.8273972602739725</v>
      </c>
      <c r="N188" t="s">
        <v>21</v>
      </c>
      <c r="O188" s="6">
        <f>staff1[[#This Row],[Salary]]*5%</f>
        <v>5018.5655000000006</v>
      </c>
      <c r="P188" s="6">
        <f>IF(staff1[[#This Row],[Tenure]]&lt;3,2%,IF(staff1[[#This Row],[Tenure]]&lt;5,5%,10%))*staff1[[#This Row],[Salary]]</f>
        <v>5018.5655000000006</v>
      </c>
    </row>
    <row r="189" spans="2:16" x14ac:dyDescent="0.25">
      <c r="B189" t="s">
        <v>542</v>
      </c>
      <c r="C189" t="s">
        <v>543</v>
      </c>
      <c r="D189" t="s">
        <v>544</v>
      </c>
      <c r="E189" t="s">
        <v>16</v>
      </c>
      <c r="F189" t="s">
        <v>17</v>
      </c>
      <c r="G189" s="6">
        <v>93964.3</v>
      </c>
      <c r="H189" t="s">
        <v>18</v>
      </c>
      <c r="I189" s="1">
        <v>44454</v>
      </c>
      <c r="J189">
        <v>0.4</v>
      </c>
      <c r="K189" t="s">
        <v>502</v>
      </c>
      <c r="L189" t="s">
        <v>26</v>
      </c>
      <c r="M189">
        <v>2.7671232876712328</v>
      </c>
      <c r="N189" t="s">
        <v>21</v>
      </c>
      <c r="O189" s="6">
        <f>staff1[[#This Row],[Salary]]*5%</f>
        <v>4698.2150000000001</v>
      </c>
      <c r="P189" s="6">
        <f>IF(staff1[[#This Row],[Tenure]]&lt;3,2%,IF(staff1[[#This Row],[Tenure]]&lt;5,5%,10%))*staff1[[#This Row],[Salary]]</f>
        <v>1879.2860000000001</v>
      </c>
    </row>
    <row r="190" spans="2:16" x14ac:dyDescent="0.25">
      <c r="B190" t="s">
        <v>545</v>
      </c>
      <c r="C190" t="s">
        <v>534</v>
      </c>
      <c r="D190" t="s">
        <v>546</v>
      </c>
      <c r="E190" t="s">
        <v>190</v>
      </c>
      <c r="F190" t="s">
        <v>64</v>
      </c>
      <c r="G190" s="6">
        <v>99448.78</v>
      </c>
      <c r="H190" t="s">
        <v>18</v>
      </c>
      <c r="I190" s="1">
        <v>43473</v>
      </c>
      <c r="J190">
        <v>1</v>
      </c>
      <c r="K190" t="s">
        <v>502</v>
      </c>
      <c r="L190" t="s">
        <v>20</v>
      </c>
      <c r="M190">
        <v>5.4547945205479449</v>
      </c>
      <c r="N190" t="s">
        <v>27</v>
      </c>
      <c r="O190" s="6">
        <f>staff1[[#This Row],[Salary]]*5%</f>
        <v>4972.4390000000003</v>
      </c>
      <c r="P190" s="6">
        <f>IF(staff1[[#This Row],[Tenure]]&lt;3,2%,IF(staff1[[#This Row],[Tenure]]&lt;5,5%,10%))*staff1[[#This Row],[Salary]]</f>
        <v>9944.8780000000006</v>
      </c>
    </row>
    <row r="191" spans="2:16" x14ac:dyDescent="0.25">
      <c r="B191" t="s">
        <v>545</v>
      </c>
      <c r="C191" t="s">
        <v>534</v>
      </c>
      <c r="D191" t="s">
        <v>546</v>
      </c>
      <c r="E191" t="s">
        <v>190</v>
      </c>
      <c r="F191" t="s">
        <v>64</v>
      </c>
      <c r="G191" s="6">
        <v>99448.78</v>
      </c>
      <c r="H191" t="s">
        <v>18</v>
      </c>
      <c r="I191" s="1">
        <v>43473</v>
      </c>
      <c r="J191">
        <v>1</v>
      </c>
      <c r="K191" t="s">
        <v>502</v>
      </c>
      <c r="L191" t="s">
        <v>20</v>
      </c>
      <c r="M191">
        <v>5.4547945205479449</v>
      </c>
      <c r="N191" t="s">
        <v>27</v>
      </c>
      <c r="O191" s="6">
        <f>staff1[[#This Row],[Salary]]*5%</f>
        <v>4972.4390000000003</v>
      </c>
      <c r="P191" s="6">
        <f>IF(staff1[[#This Row],[Tenure]]&lt;3,2%,IF(staff1[[#This Row],[Tenure]]&lt;5,5%,10%))*staff1[[#This Row],[Salary]]</f>
        <v>9944.8780000000006</v>
      </c>
    </row>
    <row r="192" spans="2:16" x14ac:dyDescent="0.25">
      <c r="B192" t="s">
        <v>547</v>
      </c>
      <c r="C192" t="s">
        <v>548</v>
      </c>
      <c r="D192" t="s">
        <v>549</v>
      </c>
      <c r="E192" t="s">
        <v>35</v>
      </c>
      <c r="F192" t="s">
        <v>25</v>
      </c>
      <c r="G192" s="6">
        <v>69764.100000000006</v>
      </c>
      <c r="H192" t="s">
        <v>18</v>
      </c>
      <c r="I192" s="1">
        <v>44195</v>
      </c>
      <c r="J192">
        <v>1</v>
      </c>
      <c r="K192" t="s">
        <v>502</v>
      </c>
      <c r="L192" t="s">
        <v>76</v>
      </c>
      <c r="M192">
        <v>3.4767123287671233</v>
      </c>
      <c r="N192" t="s">
        <v>27</v>
      </c>
      <c r="O192" s="6">
        <f>staff1[[#This Row],[Salary]]*5%</f>
        <v>3488.2050000000004</v>
      </c>
      <c r="P192" s="6">
        <f>IF(staff1[[#This Row],[Tenure]]&lt;3,2%,IF(staff1[[#This Row],[Tenure]]&lt;5,5%,10%))*staff1[[#This Row],[Salary]]</f>
        <v>3488.2050000000004</v>
      </c>
    </row>
    <row r="193" spans="2:16" x14ac:dyDescent="0.25">
      <c r="B193" t="s">
        <v>550</v>
      </c>
      <c r="C193" t="s">
        <v>551</v>
      </c>
      <c r="D193" t="s">
        <v>552</v>
      </c>
      <c r="E193" t="s">
        <v>16</v>
      </c>
      <c r="F193" t="s">
        <v>116</v>
      </c>
      <c r="G193" s="6">
        <v>104038.9</v>
      </c>
      <c r="H193" t="s">
        <v>37</v>
      </c>
      <c r="I193" s="1">
        <v>43815</v>
      </c>
      <c r="J193">
        <v>1</v>
      </c>
      <c r="K193" t="s">
        <v>502</v>
      </c>
      <c r="L193" t="s">
        <v>38</v>
      </c>
      <c r="M193">
        <v>4.5178082191780824</v>
      </c>
      <c r="N193" t="s">
        <v>27</v>
      </c>
      <c r="O193" s="6">
        <f>staff1[[#This Row],[Salary]]*5%</f>
        <v>5201.9449999999997</v>
      </c>
      <c r="P193" s="6">
        <f>IF(staff1[[#This Row],[Tenure]]&lt;3,2%,IF(staff1[[#This Row],[Tenure]]&lt;5,5%,10%))*staff1[[#This Row],[Salary]]</f>
        <v>5201.9449999999997</v>
      </c>
    </row>
    <row r="194" spans="2:16" x14ac:dyDescent="0.25">
      <c r="B194" t="s">
        <v>553</v>
      </c>
      <c r="C194" t="s">
        <v>554</v>
      </c>
      <c r="D194" t="s">
        <v>555</v>
      </c>
      <c r="E194" t="s">
        <v>16</v>
      </c>
      <c r="F194" t="s">
        <v>49</v>
      </c>
      <c r="G194" s="6">
        <v>31089.22</v>
      </c>
      <c r="H194" t="s">
        <v>57</v>
      </c>
      <c r="I194" s="1">
        <v>43776</v>
      </c>
      <c r="J194">
        <v>1</v>
      </c>
      <c r="K194" t="s">
        <v>502</v>
      </c>
      <c r="L194" t="s">
        <v>72</v>
      </c>
      <c r="M194" s="2">
        <v>4.624657534246575</v>
      </c>
      <c r="N194" t="s">
        <v>27</v>
      </c>
      <c r="O194" s="6">
        <f>staff1[[#This Row],[Salary]]*5%</f>
        <v>1554.4610000000002</v>
      </c>
      <c r="P194" s="6">
        <f>IF(staff1[[#This Row],[Tenure]]&lt;3,2%,IF(staff1[[#This Row],[Tenure]]&lt;5,5%,10%))*staff1[[#This Row],[Salary]]</f>
        <v>1554.4610000000002</v>
      </c>
    </row>
    <row r="195" spans="2:16" x14ac:dyDescent="0.25">
      <c r="B195" t="s">
        <v>556</v>
      </c>
      <c r="C195" t="s">
        <v>557</v>
      </c>
      <c r="D195" t="s">
        <v>558</v>
      </c>
      <c r="E195" t="s">
        <v>35</v>
      </c>
      <c r="F195" t="s">
        <v>36</v>
      </c>
      <c r="G195" s="6">
        <v>53184.02</v>
      </c>
      <c r="H195" t="s">
        <v>18</v>
      </c>
      <c r="I195" s="1">
        <v>43180</v>
      </c>
      <c r="J195">
        <v>1</v>
      </c>
      <c r="K195" t="s">
        <v>502</v>
      </c>
      <c r="L195" t="s">
        <v>38</v>
      </c>
      <c r="M195">
        <v>6.2575342465753421</v>
      </c>
      <c r="N195" t="s">
        <v>27</v>
      </c>
      <c r="O195" s="6">
        <f>staff1[[#This Row],[Salary]]*5%</f>
        <v>2659.201</v>
      </c>
      <c r="P195" s="6">
        <f>IF(staff1[[#This Row],[Tenure]]&lt;3,2%,IF(staff1[[#This Row],[Tenure]]&lt;5,5%,10%))*staff1[[#This Row],[Salary]]</f>
        <v>5318.402</v>
      </c>
    </row>
    <row r="196" spans="2:16" x14ac:dyDescent="0.25">
      <c r="B196" t="s">
        <v>559</v>
      </c>
      <c r="C196" t="s">
        <v>560</v>
      </c>
      <c r="D196" t="s">
        <v>561</v>
      </c>
      <c r="E196" t="s">
        <v>16</v>
      </c>
      <c r="F196" t="s">
        <v>94</v>
      </c>
      <c r="G196" s="6">
        <v>49625.64</v>
      </c>
      <c r="H196" t="s">
        <v>57</v>
      </c>
      <c r="I196" s="1">
        <v>44384</v>
      </c>
      <c r="J196">
        <v>0.5</v>
      </c>
      <c r="K196" t="s">
        <v>502</v>
      </c>
      <c r="L196" t="s">
        <v>38</v>
      </c>
      <c r="M196">
        <v>2.9589041095890409</v>
      </c>
      <c r="N196" t="s">
        <v>21</v>
      </c>
      <c r="O196" s="6">
        <f>staff1[[#This Row],[Salary]]*5%</f>
        <v>2481.2820000000002</v>
      </c>
      <c r="P196" s="6">
        <f>IF(staff1[[#This Row],[Tenure]]&lt;3,2%,IF(staff1[[#This Row],[Tenure]]&lt;5,5%,10%))*staff1[[#This Row],[Salary]]</f>
        <v>992.51279999999997</v>
      </c>
    </row>
    <row r="197" spans="2:16" x14ac:dyDescent="0.25">
      <c r="B197" t="s">
        <v>562</v>
      </c>
      <c r="C197" t="s">
        <v>563</v>
      </c>
      <c r="D197" t="s">
        <v>564</v>
      </c>
      <c r="E197" t="s">
        <v>35</v>
      </c>
      <c r="F197" t="s">
        <v>87</v>
      </c>
      <c r="G197" s="6">
        <v>47646.95</v>
      </c>
      <c r="H197" t="s">
        <v>57</v>
      </c>
      <c r="I197" s="1">
        <v>43791</v>
      </c>
      <c r="J197">
        <v>0.3</v>
      </c>
      <c r="K197" t="s">
        <v>502</v>
      </c>
      <c r="L197" t="s">
        <v>72</v>
      </c>
      <c r="M197">
        <v>4.5835616438356164</v>
      </c>
      <c r="N197" t="s">
        <v>21</v>
      </c>
      <c r="O197" s="6">
        <f>staff1[[#This Row],[Salary]]*5%</f>
        <v>2382.3474999999999</v>
      </c>
      <c r="P197" s="6">
        <f>IF(staff1[[#This Row],[Tenure]]&lt;3,2%,IF(staff1[[#This Row],[Tenure]]&lt;5,5%,10%))*staff1[[#This Row],[Salary]]</f>
        <v>2382.3474999999999</v>
      </c>
    </row>
    <row r="198" spans="2:16" x14ac:dyDescent="0.25">
      <c r="B198" t="s">
        <v>565</v>
      </c>
      <c r="C198" t="s">
        <v>89</v>
      </c>
      <c r="D198" t="s">
        <v>566</v>
      </c>
      <c r="E198" t="s">
        <v>35</v>
      </c>
      <c r="F198" t="s">
        <v>94</v>
      </c>
      <c r="G198" s="6">
        <v>89960.6</v>
      </c>
      <c r="H198" t="s">
        <v>18</v>
      </c>
      <c r="I198" s="1">
        <v>43515</v>
      </c>
      <c r="J198">
        <v>1</v>
      </c>
      <c r="K198" t="s">
        <v>502</v>
      </c>
      <c r="L198" t="s">
        <v>80</v>
      </c>
      <c r="M198">
        <v>5.3397260273972602</v>
      </c>
      <c r="N198" t="s">
        <v>27</v>
      </c>
      <c r="O198" s="6">
        <f>staff1[[#This Row],[Salary]]*5%</f>
        <v>4498.0300000000007</v>
      </c>
      <c r="P198" s="6">
        <f>IF(staff1[[#This Row],[Tenure]]&lt;3,2%,IF(staff1[[#This Row],[Tenure]]&lt;5,5%,10%))*staff1[[#This Row],[Salary]]</f>
        <v>8996.0600000000013</v>
      </c>
    </row>
    <row r="199" spans="2:16" x14ac:dyDescent="0.25">
      <c r="B199" t="s">
        <v>567</v>
      </c>
      <c r="C199" t="s">
        <v>568</v>
      </c>
      <c r="D199" t="s">
        <v>569</v>
      </c>
      <c r="E199" t="s">
        <v>35</v>
      </c>
      <c r="F199" t="s">
        <v>126</v>
      </c>
      <c r="G199" s="6">
        <v>91314.75</v>
      </c>
      <c r="H199" t="s">
        <v>18</v>
      </c>
      <c r="I199" s="1">
        <v>43931</v>
      </c>
      <c r="J199">
        <v>1</v>
      </c>
      <c r="K199" t="s">
        <v>502</v>
      </c>
      <c r="L199" t="s">
        <v>76</v>
      </c>
      <c r="M199">
        <v>4.2</v>
      </c>
      <c r="N199" t="s">
        <v>27</v>
      </c>
      <c r="O199" s="6">
        <f>staff1[[#This Row],[Salary]]*5%</f>
        <v>4565.7375000000002</v>
      </c>
      <c r="P199" s="6">
        <f>IF(staff1[[#This Row],[Tenure]]&lt;3,2%,IF(staff1[[#This Row],[Tenure]]&lt;5,5%,10%))*staff1[[#This Row],[Salary]]</f>
        <v>4565.7375000000002</v>
      </c>
    </row>
    <row r="200" spans="2:16" x14ac:dyDescent="0.25">
      <c r="B200" t="s">
        <v>570</v>
      </c>
      <c r="C200" t="s">
        <v>571</v>
      </c>
      <c r="D200" t="s">
        <v>572</v>
      </c>
      <c r="E200" t="s">
        <v>16</v>
      </c>
      <c r="F200" t="s">
        <v>87</v>
      </c>
      <c r="G200" s="6">
        <v>42314.39</v>
      </c>
      <c r="H200" t="s">
        <v>57</v>
      </c>
      <c r="I200" s="1">
        <v>44487</v>
      </c>
      <c r="J200">
        <v>1</v>
      </c>
      <c r="K200" t="s">
        <v>502</v>
      </c>
      <c r="L200" t="s">
        <v>38</v>
      </c>
      <c r="M200">
        <v>2.6767123287671235</v>
      </c>
      <c r="N200" t="s">
        <v>27</v>
      </c>
      <c r="O200" s="6">
        <f>staff1[[#This Row],[Salary]]*5%</f>
        <v>2115.7195000000002</v>
      </c>
      <c r="P200" s="6">
        <f>IF(staff1[[#This Row],[Tenure]]&lt;3,2%,IF(staff1[[#This Row],[Tenure]]&lt;5,5%,10%))*staff1[[#This Row],[Salary]]</f>
        <v>846.28780000000006</v>
      </c>
    </row>
    <row r="201" spans="2:16" x14ac:dyDescent="0.25">
      <c r="B201" t="s">
        <v>573</v>
      </c>
      <c r="C201" t="s">
        <v>574</v>
      </c>
      <c r="D201" t="s">
        <v>575</v>
      </c>
      <c r="E201" t="s">
        <v>16</v>
      </c>
      <c r="F201" t="s">
        <v>126</v>
      </c>
      <c r="G201" s="6">
        <v>84598.88</v>
      </c>
      <c r="H201" t="s">
        <v>18</v>
      </c>
      <c r="I201" s="1">
        <v>44116</v>
      </c>
      <c r="J201">
        <v>1</v>
      </c>
      <c r="K201" t="s">
        <v>502</v>
      </c>
      <c r="L201" t="s">
        <v>76</v>
      </c>
      <c r="M201">
        <v>3.6931506849315068</v>
      </c>
      <c r="N201" t="s">
        <v>27</v>
      </c>
      <c r="O201" s="6">
        <f>staff1[[#This Row],[Salary]]*5%</f>
        <v>4229.9440000000004</v>
      </c>
      <c r="P201" s="6">
        <f>IF(staff1[[#This Row],[Tenure]]&lt;3,2%,IF(staff1[[#This Row],[Tenure]]&lt;5,5%,10%))*staff1[[#This Row],[Salary]]</f>
        <v>4229.9440000000004</v>
      </c>
    </row>
    <row r="202" spans="2:16" x14ac:dyDescent="0.25">
      <c r="B202" t="s">
        <v>573</v>
      </c>
      <c r="C202" t="s">
        <v>574</v>
      </c>
      <c r="D202" t="s">
        <v>575</v>
      </c>
      <c r="E202" t="s">
        <v>16</v>
      </c>
      <c r="F202" t="s">
        <v>126</v>
      </c>
      <c r="G202" s="6">
        <v>84598.88</v>
      </c>
      <c r="H202" t="s">
        <v>18</v>
      </c>
      <c r="I202" s="1">
        <v>44116</v>
      </c>
      <c r="J202">
        <v>1</v>
      </c>
      <c r="K202" t="s">
        <v>502</v>
      </c>
      <c r="L202" t="s">
        <v>76</v>
      </c>
      <c r="M202">
        <v>3.6931506849315068</v>
      </c>
      <c r="N202" t="s">
        <v>27</v>
      </c>
      <c r="O202" s="6">
        <f>staff1[[#This Row],[Salary]]*5%</f>
        <v>4229.9440000000004</v>
      </c>
      <c r="P202" s="6">
        <f>IF(staff1[[#This Row],[Tenure]]&lt;3,2%,IF(staff1[[#This Row],[Tenure]]&lt;5,5%,10%))*staff1[[#This Row],[Salary]]</f>
        <v>4229.9440000000004</v>
      </c>
    </row>
    <row r="203" spans="2:16" x14ac:dyDescent="0.25">
      <c r="B203" t="s">
        <v>576</v>
      </c>
      <c r="C203" t="s">
        <v>577</v>
      </c>
      <c r="D203" t="s">
        <v>578</v>
      </c>
      <c r="E203" t="s">
        <v>35</v>
      </c>
      <c r="F203" t="s">
        <v>36</v>
      </c>
      <c r="G203" s="6">
        <v>78443.78</v>
      </c>
      <c r="H203" t="s">
        <v>18</v>
      </c>
      <c r="I203" s="1">
        <v>43599</v>
      </c>
      <c r="J203">
        <v>1</v>
      </c>
      <c r="K203" t="s">
        <v>502</v>
      </c>
      <c r="L203" t="s">
        <v>26</v>
      </c>
      <c r="M203">
        <v>5.1095890410958908</v>
      </c>
      <c r="N203" t="s">
        <v>27</v>
      </c>
      <c r="O203" s="6">
        <f>staff1[[#This Row],[Salary]]*5%</f>
        <v>3922.1890000000003</v>
      </c>
      <c r="P203" s="6">
        <f>IF(staff1[[#This Row],[Tenure]]&lt;3,2%,IF(staff1[[#This Row],[Tenure]]&lt;5,5%,10%))*staff1[[#This Row],[Salary]]</f>
        <v>7844.3780000000006</v>
      </c>
    </row>
    <row r="204" spans="2:16" x14ac:dyDescent="0.25">
      <c r="B204" t="s">
        <v>579</v>
      </c>
      <c r="C204" t="s">
        <v>580</v>
      </c>
      <c r="D204" t="s">
        <v>581</v>
      </c>
      <c r="E204" t="s">
        <v>16</v>
      </c>
      <c r="F204" t="s">
        <v>68</v>
      </c>
      <c r="G204" s="6">
        <v>46751.7</v>
      </c>
      <c r="H204" t="s">
        <v>57</v>
      </c>
      <c r="I204" s="1">
        <v>43843</v>
      </c>
      <c r="J204">
        <v>1</v>
      </c>
      <c r="K204" t="s">
        <v>502</v>
      </c>
      <c r="L204" t="s">
        <v>26</v>
      </c>
      <c r="M204">
        <v>4.441095890410959</v>
      </c>
      <c r="N204" t="s">
        <v>27</v>
      </c>
      <c r="O204" s="6">
        <f>staff1[[#This Row],[Salary]]*5%</f>
        <v>2337.585</v>
      </c>
      <c r="P204" s="6">
        <f>IF(staff1[[#This Row],[Tenure]]&lt;3,2%,IF(staff1[[#This Row],[Tenure]]&lt;5,5%,10%))*staff1[[#This Row],[Salary]]</f>
        <v>2337.585</v>
      </c>
    </row>
    <row r="205" spans="2:16" x14ac:dyDescent="0.25">
      <c r="B205" t="s">
        <v>582</v>
      </c>
      <c r="C205" t="s">
        <v>583</v>
      </c>
      <c r="D205" t="s">
        <v>584</v>
      </c>
      <c r="E205" t="s">
        <v>35</v>
      </c>
      <c r="F205" t="s">
        <v>53</v>
      </c>
      <c r="G205" s="6">
        <v>57419.35</v>
      </c>
      <c r="H205" t="s">
        <v>18</v>
      </c>
      <c r="I205" s="1">
        <v>43305</v>
      </c>
      <c r="J205">
        <v>1</v>
      </c>
      <c r="K205" t="s">
        <v>502</v>
      </c>
      <c r="L205" t="s">
        <v>80</v>
      </c>
      <c r="M205">
        <v>5.9150684931506845</v>
      </c>
      <c r="N205" t="s">
        <v>27</v>
      </c>
      <c r="O205" s="6">
        <f>staff1[[#This Row],[Salary]]*5%</f>
        <v>2870.9675000000002</v>
      </c>
      <c r="P205" s="6">
        <f>IF(staff1[[#This Row],[Tenure]]&lt;3,2%,IF(staff1[[#This Row],[Tenure]]&lt;5,5%,10%))*staff1[[#This Row],[Salary]]</f>
        <v>5741.9350000000004</v>
      </c>
    </row>
    <row r="206" spans="2:16" x14ac:dyDescent="0.25">
      <c r="B206" t="s">
        <v>585</v>
      </c>
      <c r="C206" t="s">
        <v>586</v>
      </c>
      <c r="D206" t="s">
        <v>587</v>
      </c>
      <c r="E206" t="s">
        <v>35</v>
      </c>
      <c r="F206" t="s">
        <v>116</v>
      </c>
      <c r="G206" s="6">
        <v>95017.1</v>
      </c>
      <c r="H206" t="s">
        <v>18</v>
      </c>
      <c r="I206" s="1">
        <v>43283</v>
      </c>
      <c r="J206">
        <v>1</v>
      </c>
      <c r="K206" t="s">
        <v>502</v>
      </c>
      <c r="L206" t="s">
        <v>76</v>
      </c>
      <c r="M206">
        <v>5.9753424657534246</v>
      </c>
      <c r="N206" t="s">
        <v>27</v>
      </c>
      <c r="O206" s="6">
        <f>staff1[[#This Row],[Salary]]*5%</f>
        <v>4750.8550000000005</v>
      </c>
      <c r="P206" s="6">
        <f>IF(staff1[[#This Row],[Tenure]]&lt;3,2%,IF(staff1[[#This Row],[Tenure]]&lt;5,5%,10%))*staff1[[#This Row],[Salary]]</f>
        <v>9501.7100000000009</v>
      </c>
    </row>
    <row r="207" spans="2:16" x14ac:dyDescent="0.25">
      <c r="B207" t="s">
        <v>588</v>
      </c>
      <c r="C207" t="s">
        <v>589</v>
      </c>
      <c r="D207" t="s">
        <v>590</v>
      </c>
      <c r="E207" t="s">
        <v>35</v>
      </c>
      <c r="F207" t="s">
        <v>42</v>
      </c>
      <c r="G207" s="6">
        <v>53535.62</v>
      </c>
      <c r="H207" t="s">
        <v>18</v>
      </c>
      <c r="I207" s="1">
        <v>44110</v>
      </c>
      <c r="J207">
        <v>0.5</v>
      </c>
      <c r="K207" t="s">
        <v>502</v>
      </c>
      <c r="L207" t="s">
        <v>76</v>
      </c>
      <c r="M207">
        <v>3.7095890410958905</v>
      </c>
      <c r="N207" t="s">
        <v>21</v>
      </c>
      <c r="O207" s="6">
        <f>staff1[[#This Row],[Salary]]*5%</f>
        <v>2676.7810000000004</v>
      </c>
      <c r="P207" s="6">
        <f>IF(staff1[[#This Row],[Tenure]]&lt;3,2%,IF(staff1[[#This Row],[Tenure]]&lt;5,5%,10%))*staff1[[#This Row],[Salary]]</f>
        <v>2676.7810000000004</v>
      </c>
    </row>
    <row r="208" spans="2:16" x14ac:dyDescent="0.25">
      <c r="B208" t="s">
        <v>591</v>
      </c>
      <c r="C208" t="s">
        <v>592</v>
      </c>
      <c r="D208" t="s">
        <v>593</v>
      </c>
      <c r="E208" t="s">
        <v>16</v>
      </c>
      <c r="F208" t="s">
        <v>49</v>
      </c>
      <c r="G208" s="6">
        <v>31042.51</v>
      </c>
      <c r="H208" t="s">
        <v>57</v>
      </c>
      <c r="I208" s="1">
        <v>44473</v>
      </c>
      <c r="J208">
        <v>0.3</v>
      </c>
      <c r="K208" t="s">
        <v>502</v>
      </c>
      <c r="L208" t="s">
        <v>38</v>
      </c>
      <c r="M208" s="2">
        <v>2.7150684931506848</v>
      </c>
      <c r="N208" t="s">
        <v>21</v>
      </c>
      <c r="O208" s="6">
        <f>staff1[[#This Row],[Salary]]*5%</f>
        <v>1552.1255000000001</v>
      </c>
      <c r="P208" s="6">
        <f>IF(staff1[[#This Row],[Tenure]]&lt;3,2%,IF(staff1[[#This Row],[Tenure]]&lt;5,5%,10%))*staff1[[#This Row],[Salary]]</f>
        <v>620.85019999999997</v>
      </c>
    </row>
    <row r="209" spans="2:16" x14ac:dyDescent="0.25">
      <c r="B209" t="s">
        <v>594</v>
      </c>
      <c r="C209" t="s">
        <v>595</v>
      </c>
      <c r="D209" t="s">
        <v>596</v>
      </c>
      <c r="E209" t="s">
        <v>16</v>
      </c>
      <c r="F209" t="s">
        <v>25</v>
      </c>
      <c r="G209" s="6">
        <v>86233.83</v>
      </c>
      <c r="H209" t="s">
        <v>18</v>
      </c>
      <c r="I209" s="1">
        <v>43706</v>
      </c>
      <c r="J209">
        <v>1</v>
      </c>
      <c r="K209" t="s">
        <v>502</v>
      </c>
      <c r="L209" t="s">
        <v>72</v>
      </c>
      <c r="M209">
        <v>4.816438356164384</v>
      </c>
      <c r="N209" t="s">
        <v>27</v>
      </c>
      <c r="O209" s="6">
        <f>staff1[[#This Row],[Salary]]*5%</f>
        <v>4311.6914999999999</v>
      </c>
      <c r="P209" s="6">
        <f>IF(staff1[[#This Row],[Tenure]]&lt;3,2%,IF(staff1[[#This Row],[Tenure]]&lt;5,5%,10%))*staff1[[#This Row],[Salary]]</f>
        <v>4311.6914999999999</v>
      </c>
    </row>
    <row r="210" spans="2:16" x14ac:dyDescent="0.25">
      <c r="B210" t="s">
        <v>597</v>
      </c>
      <c r="C210" t="s">
        <v>598</v>
      </c>
      <c r="D210" t="s">
        <v>599</v>
      </c>
      <c r="E210" t="s">
        <v>16</v>
      </c>
      <c r="F210" t="s">
        <v>25</v>
      </c>
      <c r="G210" s="6">
        <v>86558.58</v>
      </c>
      <c r="H210" t="s">
        <v>18</v>
      </c>
      <c r="I210" s="1">
        <v>43887</v>
      </c>
      <c r="J210">
        <v>1</v>
      </c>
      <c r="K210" t="s">
        <v>502</v>
      </c>
      <c r="L210" t="s">
        <v>38</v>
      </c>
      <c r="M210">
        <v>4.3205479452054796</v>
      </c>
      <c r="N210" t="s">
        <v>27</v>
      </c>
      <c r="O210" s="6">
        <f>staff1[[#This Row],[Salary]]*5%</f>
        <v>4327.9290000000001</v>
      </c>
      <c r="P210" s="6">
        <f>IF(staff1[[#This Row],[Tenure]]&lt;3,2%,IF(staff1[[#This Row],[Tenure]]&lt;5,5%,10%))*staff1[[#This Row],[Salary]]</f>
        <v>4327.9290000000001</v>
      </c>
    </row>
    <row r="211" spans="2:16" x14ac:dyDescent="0.25">
      <c r="B211" t="s">
        <v>600</v>
      </c>
      <c r="C211" t="s">
        <v>601</v>
      </c>
      <c r="D211" t="s">
        <v>602</v>
      </c>
      <c r="E211" t="s">
        <v>16</v>
      </c>
      <c r="F211" t="s">
        <v>53</v>
      </c>
      <c r="G211" s="6">
        <v>76303.820000000007</v>
      </c>
      <c r="H211" t="s">
        <v>18</v>
      </c>
      <c r="I211" s="1">
        <v>43458</v>
      </c>
      <c r="J211">
        <v>1</v>
      </c>
      <c r="K211" t="s">
        <v>502</v>
      </c>
      <c r="L211" t="s">
        <v>26</v>
      </c>
      <c r="M211">
        <v>5.4958904109589044</v>
      </c>
      <c r="N211" t="s">
        <v>27</v>
      </c>
      <c r="O211" s="6">
        <f>staff1[[#This Row],[Salary]]*5%</f>
        <v>3815.1910000000007</v>
      </c>
      <c r="P211" s="6">
        <f>IF(staff1[[#This Row],[Tenure]]&lt;3,2%,IF(staff1[[#This Row],[Tenure]]&lt;5,5%,10%))*staff1[[#This Row],[Salary]]</f>
        <v>7630.3820000000014</v>
      </c>
    </row>
    <row r="212" spans="2:16" x14ac:dyDescent="0.25">
      <c r="B212" t="s">
        <v>600</v>
      </c>
      <c r="C212" t="s">
        <v>603</v>
      </c>
      <c r="D212" t="s">
        <v>604</v>
      </c>
      <c r="E212" t="s">
        <v>16</v>
      </c>
      <c r="F212" t="s">
        <v>53</v>
      </c>
      <c r="G212" s="6">
        <v>76303.820000000007</v>
      </c>
      <c r="H212" t="s">
        <v>18</v>
      </c>
      <c r="I212" s="1">
        <v>43458</v>
      </c>
      <c r="J212">
        <v>1</v>
      </c>
      <c r="K212" t="s">
        <v>502</v>
      </c>
      <c r="L212" t="s">
        <v>26</v>
      </c>
      <c r="M212">
        <v>5.4958904109589044</v>
      </c>
      <c r="N212" t="s">
        <v>27</v>
      </c>
      <c r="O212" s="6">
        <f>staff1[[#This Row],[Salary]]*5%</f>
        <v>3815.1910000000007</v>
      </c>
      <c r="P212" s="6">
        <f>IF(staff1[[#This Row],[Tenure]]&lt;3,2%,IF(staff1[[#This Row],[Tenure]]&lt;5,5%,10%))*staff1[[#This Row],[Salary]]</f>
        <v>7630.3820000000014</v>
      </c>
    </row>
    <row r="213" spans="2:16" x14ac:dyDescent="0.25">
      <c r="B213" t="s">
        <v>605</v>
      </c>
      <c r="C213" t="s">
        <v>606</v>
      </c>
      <c r="D213" t="s">
        <v>607</v>
      </c>
      <c r="E213" t="s">
        <v>16</v>
      </c>
      <c r="F213" t="s">
        <v>17</v>
      </c>
      <c r="G213" s="6">
        <v>101187.36</v>
      </c>
      <c r="H213" t="s">
        <v>37</v>
      </c>
      <c r="I213" s="1">
        <v>43258</v>
      </c>
      <c r="J213">
        <v>1</v>
      </c>
      <c r="K213" t="s">
        <v>502</v>
      </c>
      <c r="L213" t="s">
        <v>31</v>
      </c>
      <c r="M213">
        <v>6.043835616438356</v>
      </c>
      <c r="N213" t="s">
        <v>27</v>
      </c>
      <c r="O213" s="6">
        <f>staff1[[#This Row],[Salary]]*5%</f>
        <v>5059.3680000000004</v>
      </c>
      <c r="P213" s="6">
        <f>IF(staff1[[#This Row],[Tenure]]&lt;3,2%,IF(staff1[[#This Row],[Tenure]]&lt;5,5%,10%))*staff1[[#This Row],[Salary]]</f>
        <v>10118.736000000001</v>
      </c>
    </row>
    <row r="214" spans="2:16" x14ac:dyDescent="0.25">
      <c r="B214" t="s">
        <v>608</v>
      </c>
      <c r="C214" t="s">
        <v>609</v>
      </c>
      <c r="D214" t="s">
        <v>610</v>
      </c>
      <c r="E214" t="s">
        <v>35</v>
      </c>
      <c r="F214" t="s">
        <v>36</v>
      </c>
      <c r="G214" s="6">
        <v>61624.77</v>
      </c>
      <c r="H214" t="s">
        <v>18</v>
      </c>
      <c r="I214" s="1">
        <v>43430</v>
      </c>
      <c r="J214">
        <v>0.3</v>
      </c>
      <c r="K214" t="s">
        <v>502</v>
      </c>
      <c r="L214" t="s">
        <v>26</v>
      </c>
      <c r="M214">
        <v>5.5726027397260278</v>
      </c>
      <c r="N214" t="s">
        <v>21</v>
      </c>
      <c r="O214" s="6">
        <f>staff1[[#This Row],[Salary]]*5%</f>
        <v>3081.2384999999999</v>
      </c>
      <c r="P214" s="6">
        <f>IF(staff1[[#This Row],[Tenure]]&lt;3,2%,IF(staff1[[#This Row],[Tenure]]&lt;5,5%,10%))*staff1[[#This Row],[Salary]]</f>
        <v>6162.4769999999999</v>
      </c>
    </row>
    <row r="215" spans="2:16" x14ac:dyDescent="0.25">
      <c r="B215" t="s">
        <v>611</v>
      </c>
      <c r="C215" t="s">
        <v>612</v>
      </c>
      <c r="D215" t="s">
        <v>613</v>
      </c>
      <c r="E215" t="s">
        <v>16</v>
      </c>
      <c r="F215" t="s">
        <v>87</v>
      </c>
      <c r="G215" s="6">
        <v>31172.77</v>
      </c>
      <c r="H215" t="s">
        <v>57</v>
      </c>
      <c r="I215" s="1">
        <v>43665</v>
      </c>
      <c r="J215">
        <v>1</v>
      </c>
      <c r="K215" t="s">
        <v>502</v>
      </c>
      <c r="L215" t="s">
        <v>38</v>
      </c>
      <c r="M215">
        <v>4.9287671232876713</v>
      </c>
      <c r="N215" t="s">
        <v>27</v>
      </c>
      <c r="O215" s="6">
        <f>staff1[[#This Row],[Salary]]*5%</f>
        <v>1558.6385</v>
      </c>
      <c r="P215" s="6">
        <f>IF(staff1[[#This Row],[Tenure]]&lt;3,2%,IF(staff1[[#This Row],[Tenure]]&lt;5,5%,10%))*staff1[[#This Row],[Salary]]</f>
        <v>1558.6385</v>
      </c>
    </row>
    <row r="216" spans="2:16" x14ac:dyDescent="0.25">
      <c r="B216" t="s">
        <v>614</v>
      </c>
      <c r="C216" t="s">
        <v>615</v>
      </c>
      <c r="D216" t="s">
        <v>616</v>
      </c>
      <c r="E216" t="s">
        <v>35</v>
      </c>
      <c r="F216" t="s">
        <v>53</v>
      </c>
      <c r="G216" s="6">
        <v>102515.81</v>
      </c>
      <c r="H216" t="s">
        <v>37</v>
      </c>
      <c r="I216" s="1">
        <v>43902</v>
      </c>
      <c r="J216">
        <v>1</v>
      </c>
      <c r="K216" t="s">
        <v>502</v>
      </c>
      <c r="L216" t="s">
        <v>72</v>
      </c>
      <c r="M216">
        <v>4.279452054794521</v>
      </c>
      <c r="N216" t="s">
        <v>27</v>
      </c>
      <c r="O216" s="6">
        <f>staff1[[#This Row],[Salary]]*5%</f>
        <v>5125.7905000000001</v>
      </c>
      <c r="P216" s="6">
        <f>IF(staff1[[#This Row],[Tenure]]&lt;3,2%,IF(staff1[[#This Row],[Tenure]]&lt;5,5%,10%))*staff1[[#This Row],[Salary]]</f>
        <v>5125.7905000000001</v>
      </c>
    </row>
    <row r="217" spans="2:16" x14ac:dyDescent="0.25">
      <c r="B217" t="s">
        <v>617</v>
      </c>
      <c r="C217" t="s">
        <v>618</v>
      </c>
      <c r="D217" t="s">
        <v>619</v>
      </c>
      <c r="E217" t="s">
        <v>16</v>
      </c>
      <c r="F217" t="s">
        <v>17</v>
      </c>
      <c r="G217" s="6">
        <v>93128.34</v>
      </c>
      <c r="H217" t="s">
        <v>18</v>
      </c>
      <c r="I217" s="1">
        <v>43164</v>
      </c>
      <c r="J217">
        <v>1</v>
      </c>
      <c r="K217" t="s">
        <v>502</v>
      </c>
      <c r="L217" t="s">
        <v>76</v>
      </c>
      <c r="M217">
        <v>6.3013698630136989</v>
      </c>
      <c r="N217" t="s">
        <v>27</v>
      </c>
      <c r="O217" s="6">
        <f>staff1[[#This Row],[Salary]]*5%</f>
        <v>4656.4170000000004</v>
      </c>
      <c r="P217" s="6">
        <f>IF(staff1[[#This Row],[Tenure]]&lt;3,2%,IF(staff1[[#This Row],[Tenure]]&lt;5,5%,10%))*staff1[[#This Row],[Salary]]</f>
        <v>9312.8340000000007</v>
      </c>
    </row>
    <row r="218" spans="2:16" x14ac:dyDescent="0.25">
      <c r="B218" t="s">
        <v>620</v>
      </c>
      <c r="C218" t="s">
        <v>621</v>
      </c>
      <c r="D218" t="s">
        <v>622</v>
      </c>
      <c r="E218" t="s">
        <v>35</v>
      </c>
      <c r="F218" t="s">
        <v>17</v>
      </c>
      <c r="G218" s="6">
        <v>112778.28</v>
      </c>
      <c r="H218" t="s">
        <v>37</v>
      </c>
      <c r="I218" s="1">
        <v>43250</v>
      </c>
      <c r="J218">
        <v>1</v>
      </c>
      <c r="K218" t="s">
        <v>502</v>
      </c>
      <c r="L218" t="s">
        <v>38</v>
      </c>
      <c r="M218">
        <v>6.065753424657534</v>
      </c>
      <c r="N218" t="s">
        <v>27</v>
      </c>
      <c r="O218" s="6">
        <f>staff1[[#This Row],[Salary]]*5%</f>
        <v>5638.9140000000007</v>
      </c>
      <c r="P218" s="6">
        <f>IF(staff1[[#This Row],[Tenure]]&lt;3,2%,IF(staff1[[#This Row],[Tenure]]&lt;5,5%,10%))*staff1[[#This Row],[Salary]]</f>
        <v>11277.828000000001</v>
      </c>
    </row>
    <row r="219" spans="2:16" x14ac:dyDescent="0.25">
      <c r="B219" t="s">
        <v>620</v>
      </c>
      <c r="C219" t="s">
        <v>621</v>
      </c>
      <c r="D219" t="s">
        <v>622</v>
      </c>
      <c r="E219" t="s">
        <v>35</v>
      </c>
      <c r="F219" t="s">
        <v>17</v>
      </c>
      <c r="G219" s="6">
        <v>112778.28</v>
      </c>
      <c r="H219" t="s">
        <v>37</v>
      </c>
      <c r="I219" s="1">
        <v>43250</v>
      </c>
      <c r="J219">
        <v>1</v>
      </c>
      <c r="K219" t="s">
        <v>502</v>
      </c>
      <c r="L219" t="s">
        <v>38</v>
      </c>
      <c r="M219">
        <v>6.065753424657534</v>
      </c>
      <c r="N219" t="s">
        <v>27</v>
      </c>
      <c r="O219" s="6">
        <f>staff1[[#This Row],[Salary]]*5%</f>
        <v>5638.9140000000007</v>
      </c>
      <c r="P219" s="6">
        <f>IF(staff1[[#This Row],[Tenure]]&lt;3,2%,IF(staff1[[#This Row],[Tenure]]&lt;5,5%,10%))*staff1[[#This Row],[Salary]]</f>
        <v>11277.828000000001</v>
      </c>
    </row>
    <row r="220" spans="2:16" x14ac:dyDescent="0.25">
      <c r="B220" t="s">
        <v>623</v>
      </c>
      <c r="C220" t="s">
        <v>624</v>
      </c>
      <c r="D220" t="s">
        <v>625</v>
      </c>
      <c r="E220" t="s">
        <v>35</v>
      </c>
      <c r="F220" t="s">
        <v>64</v>
      </c>
      <c r="G220" s="6">
        <v>65569.36</v>
      </c>
      <c r="H220" t="s">
        <v>18</v>
      </c>
      <c r="I220" s="1">
        <v>43293</v>
      </c>
      <c r="J220">
        <v>1</v>
      </c>
      <c r="K220" t="s">
        <v>502</v>
      </c>
      <c r="L220" t="s">
        <v>80</v>
      </c>
      <c r="M220">
        <v>5.9479452054794519</v>
      </c>
      <c r="N220" t="s">
        <v>27</v>
      </c>
      <c r="O220" s="6">
        <f>staff1[[#This Row],[Salary]]*5%</f>
        <v>3278.4680000000003</v>
      </c>
      <c r="P220" s="6">
        <f>IF(staff1[[#This Row],[Tenure]]&lt;3,2%,IF(staff1[[#This Row],[Tenure]]&lt;5,5%,10%))*staff1[[#This Row],[Salary]]</f>
        <v>6556.9360000000006</v>
      </c>
    </row>
    <row r="221" spans="2:16" x14ac:dyDescent="0.25">
      <c r="B221" t="s">
        <v>626</v>
      </c>
      <c r="C221" t="s">
        <v>627</v>
      </c>
      <c r="D221" t="s">
        <v>628</v>
      </c>
      <c r="E221" t="s">
        <v>16</v>
      </c>
      <c r="F221" t="s">
        <v>36</v>
      </c>
      <c r="G221" s="6">
        <v>51165.37</v>
      </c>
      <c r="H221" t="s">
        <v>18</v>
      </c>
      <c r="I221" s="1">
        <v>44237</v>
      </c>
      <c r="J221">
        <v>1</v>
      </c>
      <c r="K221" t="s">
        <v>502</v>
      </c>
      <c r="L221" t="s">
        <v>26</v>
      </c>
      <c r="M221">
        <v>3.3616438356164382</v>
      </c>
      <c r="N221" t="s">
        <v>27</v>
      </c>
      <c r="O221" s="6">
        <f>staff1[[#This Row],[Salary]]*5%</f>
        <v>2558.2685000000001</v>
      </c>
      <c r="P221" s="6">
        <f>IF(staff1[[#This Row],[Tenure]]&lt;3,2%,IF(staff1[[#This Row],[Tenure]]&lt;5,5%,10%))*staff1[[#This Row],[Salary]]</f>
        <v>2558.2685000000001</v>
      </c>
    </row>
    <row r="222" spans="2:16" x14ac:dyDescent="0.25">
      <c r="B222" t="s">
        <v>629</v>
      </c>
      <c r="C222" t="s">
        <v>630</v>
      </c>
      <c r="D222" t="s">
        <v>631</v>
      </c>
      <c r="E222" t="s">
        <v>16</v>
      </c>
      <c r="F222" t="s">
        <v>68</v>
      </c>
      <c r="G222" s="6">
        <v>59434.18</v>
      </c>
      <c r="H222" t="s">
        <v>18</v>
      </c>
      <c r="I222" s="1">
        <v>43931</v>
      </c>
      <c r="J222">
        <v>1</v>
      </c>
      <c r="K222" t="s">
        <v>632</v>
      </c>
      <c r="L222" t="s">
        <v>76</v>
      </c>
      <c r="M222">
        <v>4.2</v>
      </c>
      <c r="N222" t="s">
        <v>27</v>
      </c>
      <c r="O222" s="6">
        <f>staff1[[#This Row],[Salary]]*5%</f>
        <v>2971.7090000000003</v>
      </c>
      <c r="P222" s="6">
        <f>IF(staff1[[#This Row],[Tenure]]&lt;3,2%,IF(staff1[[#This Row],[Tenure]]&lt;5,5%,10%))*staff1[[#This Row],[Salary]]</f>
        <v>2971.7090000000003</v>
      </c>
    </row>
    <row r="223" spans="2:16" x14ac:dyDescent="0.25">
      <c r="B223" t="s">
        <v>633</v>
      </c>
      <c r="C223" t="s">
        <v>634</v>
      </c>
      <c r="D223" t="s">
        <v>635</v>
      </c>
      <c r="E223" t="s">
        <v>35</v>
      </c>
      <c r="F223" t="s">
        <v>17</v>
      </c>
      <c r="G223" s="6">
        <v>53949.26</v>
      </c>
      <c r="H223" t="s">
        <v>18</v>
      </c>
      <c r="I223" s="1">
        <v>43808</v>
      </c>
      <c r="J223">
        <v>1</v>
      </c>
      <c r="K223" t="s">
        <v>632</v>
      </c>
      <c r="L223" t="s">
        <v>31</v>
      </c>
      <c r="M223">
        <v>4.536986301369863</v>
      </c>
      <c r="N223" t="s">
        <v>27</v>
      </c>
      <c r="O223" s="6">
        <f>staff1[[#This Row],[Salary]]*5%</f>
        <v>2697.4630000000002</v>
      </c>
      <c r="P223" s="6">
        <f>IF(staff1[[#This Row],[Tenure]]&lt;3,2%,IF(staff1[[#This Row],[Tenure]]&lt;5,5%,10%))*staff1[[#This Row],[Salary]]</f>
        <v>2697.4630000000002</v>
      </c>
    </row>
    <row r="224" spans="2:16" x14ac:dyDescent="0.25">
      <c r="B224" t="s">
        <v>633</v>
      </c>
      <c r="C224" t="s">
        <v>634</v>
      </c>
      <c r="D224" t="s">
        <v>635</v>
      </c>
      <c r="E224" t="s">
        <v>35</v>
      </c>
      <c r="F224" t="s">
        <v>17</v>
      </c>
      <c r="G224" s="6">
        <v>53949.26</v>
      </c>
      <c r="H224" t="s">
        <v>18</v>
      </c>
      <c r="I224" s="1">
        <v>43808</v>
      </c>
      <c r="J224">
        <v>1</v>
      </c>
      <c r="K224" t="s">
        <v>632</v>
      </c>
      <c r="L224" t="s">
        <v>31</v>
      </c>
      <c r="M224">
        <v>4.536986301369863</v>
      </c>
      <c r="N224" t="s">
        <v>27</v>
      </c>
      <c r="O224" s="6">
        <f>staff1[[#This Row],[Salary]]*5%</f>
        <v>2697.4630000000002</v>
      </c>
      <c r="P224" s="6">
        <f>IF(staff1[[#This Row],[Tenure]]&lt;3,2%,IF(staff1[[#This Row],[Tenure]]&lt;5,5%,10%))*staff1[[#This Row],[Salary]]</f>
        <v>2697.4630000000002</v>
      </c>
    </row>
    <row r="225" spans="2:17" x14ac:dyDescent="0.25">
      <c r="B225" t="s">
        <v>636</v>
      </c>
      <c r="C225" t="s">
        <v>637</v>
      </c>
      <c r="D225" t="s">
        <v>638</v>
      </c>
      <c r="E225" t="s">
        <v>16</v>
      </c>
      <c r="F225" t="s">
        <v>68</v>
      </c>
      <c r="G225" s="6">
        <v>96555.53</v>
      </c>
      <c r="H225" t="s">
        <v>18</v>
      </c>
      <c r="I225" s="1">
        <v>43489</v>
      </c>
      <c r="J225">
        <v>0.2</v>
      </c>
      <c r="K225" t="s">
        <v>632</v>
      </c>
      <c r="L225" t="s">
        <v>26</v>
      </c>
      <c r="M225">
        <v>5.4109589041095889</v>
      </c>
      <c r="N225" t="s">
        <v>21</v>
      </c>
      <c r="O225" s="6">
        <f>staff1[[#This Row],[Salary]]*5%</f>
        <v>4827.7764999999999</v>
      </c>
      <c r="P225" s="6">
        <f>IF(staff1[[#This Row],[Tenure]]&lt;3,2%,IF(staff1[[#This Row],[Tenure]]&lt;5,5%,10%))*staff1[[#This Row],[Salary]]</f>
        <v>9655.5529999999999</v>
      </c>
    </row>
    <row r="226" spans="2:17" x14ac:dyDescent="0.25">
      <c r="B226" t="s">
        <v>639</v>
      </c>
      <c r="C226" t="s">
        <v>640</v>
      </c>
      <c r="D226" t="s">
        <v>641</v>
      </c>
      <c r="E226" t="s">
        <v>16</v>
      </c>
      <c r="F226" t="s">
        <v>53</v>
      </c>
      <c r="G226" s="6">
        <v>71823.56</v>
      </c>
      <c r="H226" t="s">
        <v>18</v>
      </c>
      <c r="I226" s="1">
        <v>43374</v>
      </c>
      <c r="J226">
        <v>0.3</v>
      </c>
      <c r="K226" t="s">
        <v>632</v>
      </c>
      <c r="L226" t="s">
        <v>38</v>
      </c>
      <c r="M226">
        <v>5.7260273972602738</v>
      </c>
      <c r="N226" t="s">
        <v>21</v>
      </c>
      <c r="O226" s="6">
        <f>staff1[[#This Row],[Salary]]*5%</f>
        <v>3591.1779999999999</v>
      </c>
      <c r="P226" s="6">
        <f>IF(staff1[[#This Row],[Tenure]]&lt;3,2%,IF(staff1[[#This Row],[Tenure]]&lt;5,5%,10%))*staff1[[#This Row],[Salary]]</f>
        <v>7182.3559999999998</v>
      </c>
      <c r="Q226" s="6">
        <f>SUM(O12:O253)</f>
        <v>890682.62499999988</v>
      </c>
    </row>
    <row r="227" spans="2:17" x14ac:dyDescent="0.25">
      <c r="B227" t="s">
        <v>639</v>
      </c>
      <c r="C227" t="s">
        <v>640</v>
      </c>
      <c r="D227" t="s">
        <v>641</v>
      </c>
      <c r="E227" t="s">
        <v>16</v>
      </c>
      <c r="F227" t="s">
        <v>53</v>
      </c>
      <c r="G227" s="6">
        <v>71823.56</v>
      </c>
      <c r="H227" t="s">
        <v>18</v>
      </c>
      <c r="I227" s="1">
        <v>43374</v>
      </c>
      <c r="J227">
        <v>0.3</v>
      </c>
      <c r="K227" t="s">
        <v>632</v>
      </c>
      <c r="L227" t="s">
        <v>38</v>
      </c>
      <c r="M227">
        <v>5.7260273972602738</v>
      </c>
      <c r="N227" t="s">
        <v>21</v>
      </c>
      <c r="O227" s="6">
        <f>staff1[[#This Row],[Salary]]*5%</f>
        <v>3591.1779999999999</v>
      </c>
      <c r="P227" s="6">
        <f>IF(staff1[[#This Row],[Tenure]]&lt;3,2%,IF(staff1[[#This Row],[Tenure]]&lt;5,5%,10%))*staff1[[#This Row],[Salary]]</f>
        <v>7182.3559999999998</v>
      </c>
    </row>
    <row r="228" spans="2:17" x14ac:dyDescent="0.25">
      <c r="B228" t="s">
        <v>642</v>
      </c>
      <c r="C228" t="s">
        <v>643</v>
      </c>
      <c r="D228" t="s">
        <v>644</v>
      </c>
      <c r="E228" t="s">
        <v>35</v>
      </c>
      <c r="F228" t="s">
        <v>116</v>
      </c>
      <c r="G228" s="6">
        <v>61214.26</v>
      </c>
      <c r="H228" t="s">
        <v>18</v>
      </c>
      <c r="I228" s="1">
        <v>43171</v>
      </c>
      <c r="J228">
        <v>1</v>
      </c>
      <c r="K228" t="s">
        <v>632</v>
      </c>
      <c r="L228" t="s">
        <v>80</v>
      </c>
      <c r="M228">
        <v>6.2821917808219174</v>
      </c>
      <c r="N228" t="s">
        <v>27</v>
      </c>
      <c r="O228" s="6">
        <f>staff1[[#This Row],[Salary]]*5%</f>
        <v>3060.7130000000002</v>
      </c>
      <c r="P228" s="6">
        <f>IF(staff1[[#This Row],[Tenure]]&lt;3,2%,IF(staff1[[#This Row],[Tenure]]&lt;5,5%,10%))*staff1[[#This Row],[Salary]]</f>
        <v>6121.4260000000004</v>
      </c>
    </row>
    <row r="229" spans="2:17" x14ac:dyDescent="0.25">
      <c r="B229" t="s">
        <v>645</v>
      </c>
      <c r="C229" t="s">
        <v>646</v>
      </c>
      <c r="D229" t="s">
        <v>647</v>
      </c>
      <c r="E229" t="s">
        <v>35</v>
      </c>
      <c r="F229" t="s">
        <v>36</v>
      </c>
      <c r="G229" s="6">
        <v>114465.93</v>
      </c>
      <c r="H229" t="s">
        <v>37</v>
      </c>
      <c r="I229" s="1">
        <v>43291</v>
      </c>
      <c r="J229">
        <v>1</v>
      </c>
      <c r="K229" t="s">
        <v>632</v>
      </c>
      <c r="L229" t="s">
        <v>20</v>
      </c>
      <c r="M229">
        <v>5.9534246575342467</v>
      </c>
      <c r="N229" t="s">
        <v>27</v>
      </c>
      <c r="O229" s="6">
        <f>staff1[[#This Row],[Salary]]*5%</f>
        <v>5723.2965000000004</v>
      </c>
      <c r="P229" s="6">
        <f>IF(staff1[[#This Row],[Tenure]]&lt;3,2%,IF(staff1[[#This Row],[Tenure]]&lt;5,5%,10%))*staff1[[#This Row],[Salary]]</f>
        <v>11446.593000000001</v>
      </c>
    </row>
    <row r="230" spans="2:17" x14ac:dyDescent="0.25">
      <c r="B230" t="s">
        <v>648</v>
      </c>
      <c r="C230" t="s">
        <v>649</v>
      </c>
      <c r="D230" t="s">
        <v>650</v>
      </c>
      <c r="E230" t="s">
        <v>16</v>
      </c>
      <c r="F230" t="s">
        <v>49</v>
      </c>
      <c r="G230" s="6">
        <v>32496.880000000001</v>
      </c>
      <c r="H230" t="s">
        <v>57</v>
      </c>
      <c r="I230" s="1">
        <v>43234</v>
      </c>
      <c r="J230">
        <v>1</v>
      </c>
      <c r="K230" t="s">
        <v>632</v>
      </c>
      <c r="L230" t="s">
        <v>38</v>
      </c>
      <c r="M230" s="2">
        <v>6.1095890410958908</v>
      </c>
      <c r="N230" t="s">
        <v>27</v>
      </c>
      <c r="O230" s="6">
        <f>staff1[[#This Row],[Salary]]*5%</f>
        <v>1624.8440000000001</v>
      </c>
      <c r="P230" s="6">
        <f>IF(staff1[[#This Row],[Tenure]]&lt;3,2%,IF(staff1[[#This Row],[Tenure]]&lt;5,5%,10%))*staff1[[#This Row],[Salary]]</f>
        <v>3249.6880000000001</v>
      </c>
    </row>
    <row r="231" spans="2:17" x14ac:dyDescent="0.25">
      <c r="B231" t="s">
        <v>651</v>
      </c>
      <c r="C231" t="s">
        <v>652</v>
      </c>
      <c r="D231" t="s">
        <v>653</v>
      </c>
      <c r="E231" t="s">
        <v>35</v>
      </c>
      <c r="F231" t="s">
        <v>36</v>
      </c>
      <c r="G231" s="6">
        <v>39969.72</v>
      </c>
      <c r="H231" t="s">
        <v>57</v>
      </c>
      <c r="I231" s="1">
        <v>43444</v>
      </c>
      <c r="J231">
        <v>1</v>
      </c>
      <c r="K231" t="s">
        <v>632</v>
      </c>
      <c r="L231" t="s">
        <v>31</v>
      </c>
      <c r="M231">
        <v>5.5342465753424657</v>
      </c>
      <c r="N231" t="s">
        <v>27</v>
      </c>
      <c r="O231" s="6">
        <f>staff1[[#This Row],[Salary]]*5%</f>
        <v>1998.4860000000001</v>
      </c>
      <c r="P231" s="6">
        <f>IF(staff1[[#This Row],[Tenure]]&lt;3,2%,IF(staff1[[#This Row],[Tenure]]&lt;5,5%,10%))*staff1[[#This Row],[Salary]]</f>
        <v>3996.9720000000002</v>
      </c>
    </row>
    <row r="232" spans="2:17" x14ac:dyDescent="0.25">
      <c r="B232" t="s">
        <v>654</v>
      </c>
      <c r="C232" t="s">
        <v>655</v>
      </c>
      <c r="D232" t="s">
        <v>656</v>
      </c>
      <c r="E232" t="s">
        <v>35</v>
      </c>
      <c r="F232" t="s">
        <v>49</v>
      </c>
      <c r="G232" s="6">
        <v>28481.16</v>
      </c>
      <c r="H232" t="s">
        <v>57</v>
      </c>
      <c r="I232" s="1">
        <v>44228</v>
      </c>
      <c r="J232">
        <v>1</v>
      </c>
      <c r="K232" t="s">
        <v>632</v>
      </c>
      <c r="L232" t="s">
        <v>72</v>
      </c>
      <c r="M232" s="2">
        <v>3.3863013698630136</v>
      </c>
      <c r="N232" t="s">
        <v>27</v>
      </c>
      <c r="O232" s="6">
        <f>staff1[[#This Row],[Salary]]*5%</f>
        <v>1424.058</v>
      </c>
      <c r="P232" s="6">
        <f>IF(staff1[[#This Row],[Tenure]]&lt;3,2%,IF(staff1[[#This Row],[Tenure]]&lt;5,5%,10%))*staff1[[#This Row],[Salary]]</f>
        <v>1424.058</v>
      </c>
    </row>
    <row r="233" spans="2:17" x14ac:dyDescent="0.25">
      <c r="B233" t="s">
        <v>657</v>
      </c>
      <c r="C233" t="s">
        <v>658</v>
      </c>
      <c r="D233" t="s">
        <v>659</v>
      </c>
      <c r="E233" t="s">
        <v>35</v>
      </c>
      <c r="F233" t="s">
        <v>17</v>
      </c>
      <c r="G233" s="6">
        <v>114691.03</v>
      </c>
      <c r="H233" t="s">
        <v>37</v>
      </c>
      <c r="I233" s="1">
        <v>44039</v>
      </c>
      <c r="J233">
        <v>1</v>
      </c>
      <c r="K233" t="s">
        <v>632</v>
      </c>
      <c r="L233" t="s">
        <v>20</v>
      </c>
      <c r="M233">
        <v>3.904109589041096</v>
      </c>
      <c r="N233" t="s">
        <v>27</v>
      </c>
      <c r="O233" s="6">
        <f>staff1[[#This Row],[Salary]]*5%</f>
        <v>5734.5515000000005</v>
      </c>
      <c r="P233" s="6">
        <f>IF(staff1[[#This Row],[Tenure]]&lt;3,2%,IF(staff1[[#This Row],[Tenure]]&lt;5,5%,10%))*staff1[[#This Row],[Salary]]</f>
        <v>5734.5515000000005</v>
      </c>
    </row>
    <row r="234" spans="2:17" x14ac:dyDescent="0.25">
      <c r="B234" t="s">
        <v>660</v>
      </c>
      <c r="C234" t="s">
        <v>661</v>
      </c>
      <c r="D234" t="s">
        <v>662</v>
      </c>
      <c r="E234" t="s">
        <v>35</v>
      </c>
      <c r="F234" t="s">
        <v>36</v>
      </c>
      <c r="G234" s="6">
        <v>82239.53</v>
      </c>
      <c r="H234" t="s">
        <v>18</v>
      </c>
      <c r="I234" s="1">
        <v>43846</v>
      </c>
      <c r="J234">
        <v>1</v>
      </c>
      <c r="K234" t="s">
        <v>632</v>
      </c>
      <c r="L234" t="s">
        <v>31</v>
      </c>
      <c r="M234">
        <v>4.4328767123287669</v>
      </c>
      <c r="N234" t="s">
        <v>27</v>
      </c>
      <c r="O234" s="6">
        <f>staff1[[#This Row],[Salary]]*5%</f>
        <v>4111.9764999999998</v>
      </c>
      <c r="P234" s="6">
        <f>IF(staff1[[#This Row],[Tenure]]&lt;3,2%,IF(staff1[[#This Row],[Tenure]]&lt;5,5%,10%))*staff1[[#This Row],[Salary]]</f>
        <v>4111.9764999999998</v>
      </c>
    </row>
    <row r="235" spans="2:17" x14ac:dyDescent="0.25">
      <c r="B235" t="s">
        <v>663</v>
      </c>
      <c r="C235" t="s">
        <v>664</v>
      </c>
      <c r="D235" t="s">
        <v>665</v>
      </c>
      <c r="E235" t="s">
        <v>35</v>
      </c>
      <c r="F235" t="s">
        <v>126</v>
      </c>
      <c r="G235" s="6">
        <v>83191.95</v>
      </c>
      <c r="H235" t="s">
        <v>18</v>
      </c>
      <c r="I235" s="1">
        <v>43700</v>
      </c>
      <c r="J235">
        <v>0.6</v>
      </c>
      <c r="K235" t="s">
        <v>632</v>
      </c>
      <c r="L235" t="s">
        <v>38</v>
      </c>
      <c r="M235">
        <v>4.8328767123287673</v>
      </c>
      <c r="N235" t="s">
        <v>21</v>
      </c>
      <c r="O235" s="6">
        <f>staff1[[#This Row],[Salary]]*5%</f>
        <v>4159.5974999999999</v>
      </c>
      <c r="P235" s="6">
        <f>IF(staff1[[#This Row],[Tenure]]&lt;3,2%,IF(staff1[[#This Row],[Tenure]]&lt;5,5%,10%))*staff1[[#This Row],[Salary]]</f>
        <v>4159.5974999999999</v>
      </c>
    </row>
    <row r="236" spans="2:17" x14ac:dyDescent="0.25">
      <c r="B236" t="s">
        <v>666</v>
      </c>
      <c r="C236" t="s">
        <v>667</v>
      </c>
      <c r="D236" t="s">
        <v>668</v>
      </c>
      <c r="E236" t="s">
        <v>35</v>
      </c>
      <c r="F236" t="s">
        <v>49</v>
      </c>
      <c r="G236" s="6">
        <v>113747.56</v>
      </c>
      <c r="H236" t="s">
        <v>37</v>
      </c>
      <c r="I236" s="1">
        <v>44270</v>
      </c>
      <c r="J236">
        <v>0.7</v>
      </c>
      <c r="K236" t="s">
        <v>632</v>
      </c>
      <c r="L236" t="s">
        <v>31</v>
      </c>
      <c r="M236" s="2">
        <v>3.2712328767123289</v>
      </c>
      <c r="N236" t="s">
        <v>21</v>
      </c>
      <c r="O236" s="6">
        <f>staff1[[#This Row],[Salary]]*5%</f>
        <v>5687.3780000000006</v>
      </c>
      <c r="P236" s="6">
        <f>IF(staff1[[#This Row],[Tenure]]&lt;3,2%,IF(staff1[[#This Row],[Tenure]]&lt;5,5%,10%))*staff1[[#This Row],[Salary]]</f>
        <v>5687.3780000000006</v>
      </c>
    </row>
    <row r="237" spans="2:17" x14ac:dyDescent="0.25">
      <c r="B237" t="s">
        <v>666</v>
      </c>
      <c r="C237" t="s">
        <v>667</v>
      </c>
      <c r="D237" t="s">
        <v>668</v>
      </c>
      <c r="E237" t="s">
        <v>35</v>
      </c>
      <c r="F237" t="s">
        <v>49</v>
      </c>
      <c r="G237" s="6">
        <v>113747.56</v>
      </c>
      <c r="H237" t="s">
        <v>37</v>
      </c>
      <c r="I237" s="1">
        <v>44270</v>
      </c>
      <c r="J237">
        <v>0.7</v>
      </c>
      <c r="K237" t="s">
        <v>632</v>
      </c>
      <c r="L237" t="s">
        <v>31</v>
      </c>
      <c r="M237" s="2">
        <v>3.2712328767123289</v>
      </c>
      <c r="N237" t="s">
        <v>21</v>
      </c>
      <c r="O237" s="6">
        <f>staff1[[#This Row],[Salary]]*5%</f>
        <v>5687.3780000000006</v>
      </c>
      <c r="P237" s="6">
        <f>IF(staff1[[#This Row],[Tenure]]&lt;3,2%,IF(staff1[[#This Row],[Tenure]]&lt;5,5%,10%))*staff1[[#This Row],[Salary]]</f>
        <v>5687.3780000000006</v>
      </c>
    </row>
    <row r="238" spans="2:17" x14ac:dyDescent="0.25">
      <c r="B238" t="s">
        <v>669</v>
      </c>
      <c r="C238" t="s">
        <v>670</v>
      </c>
      <c r="D238" t="s">
        <v>671</v>
      </c>
      <c r="E238" t="s">
        <v>35</v>
      </c>
      <c r="F238" t="s">
        <v>116</v>
      </c>
      <c r="G238" s="6">
        <v>37062.1</v>
      </c>
      <c r="H238" t="s">
        <v>57</v>
      </c>
      <c r="I238" s="1">
        <v>44357</v>
      </c>
      <c r="J238">
        <v>1</v>
      </c>
      <c r="K238" t="s">
        <v>632</v>
      </c>
      <c r="L238" t="s">
        <v>72</v>
      </c>
      <c r="M238">
        <v>3.032876712328767</v>
      </c>
      <c r="N238" t="s">
        <v>27</v>
      </c>
      <c r="O238" s="6">
        <f>staff1[[#This Row],[Salary]]*5%</f>
        <v>1853.105</v>
      </c>
      <c r="P238" s="6">
        <f>IF(staff1[[#This Row],[Tenure]]&lt;3,2%,IF(staff1[[#This Row],[Tenure]]&lt;5,5%,10%))*staff1[[#This Row],[Salary]]</f>
        <v>1853.105</v>
      </c>
    </row>
    <row r="239" spans="2:17" x14ac:dyDescent="0.25">
      <c r="B239" t="s">
        <v>672</v>
      </c>
      <c r="C239" t="s">
        <v>673</v>
      </c>
      <c r="D239" t="s">
        <v>674</v>
      </c>
      <c r="E239" t="s">
        <v>35</v>
      </c>
      <c r="F239" t="s">
        <v>25</v>
      </c>
      <c r="G239" s="6">
        <v>73360.38</v>
      </c>
      <c r="H239" t="s">
        <v>18</v>
      </c>
      <c r="I239" s="1">
        <v>43972</v>
      </c>
      <c r="J239">
        <v>1</v>
      </c>
      <c r="K239" t="s">
        <v>632</v>
      </c>
      <c r="L239" t="s">
        <v>38</v>
      </c>
      <c r="M239">
        <v>4.087671232876712</v>
      </c>
      <c r="N239" t="s">
        <v>27</v>
      </c>
      <c r="O239" s="6">
        <f>staff1[[#This Row],[Salary]]*5%</f>
        <v>3668.0190000000002</v>
      </c>
      <c r="P239" s="6">
        <f>IF(staff1[[#This Row],[Tenure]]&lt;3,2%,IF(staff1[[#This Row],[Tenure]]&lt;5,5%,10%))*staff1[[#This Row],[Salary]]</f>
        <v>3668.0190000000002</v>
      </c>
    </row>
    <row r="240" spans="2:17" x14ac:dyDescent="0.25">
      <c r="B240" t="s">
        <v>672</v>
      </c>
      <c r="C240" t="s">
        <v>673</v>
      </c>
      <c r="D240" t="s">
        <v>674</v>
      </c>
      <c r="E240" t="s">
        <v>35</v>
      </c>
      <c r="F240" t="s">
        <v>25</v>
      </c>
      <c r="G240" s="6">
        <v>73360.38</v>
      </c>
      <c r="H240" t="s">
        <v>18</v>
      </c>
      <c r="I240" s="1">
        <v>43972</v>
      </c>
      <c r="J240">
        <v>1</v>
      </c>
      <c r="K240" t="s">
        <v>632</v>
      </c>
      <c r="L240" t="s">
        <v>38</v>
      </c>
      <c r="M240">
        <v>4.087671232876712</v>
      </c>
      <c r="N240" t="s">
        <v>27</v>
      </c>
      <c r="O240" s="6">
        <f>staff1[[#This Row],[Salary]]*5%</f>
        <v>3668.0190000000002</v>
      </c>
      <c r="P240" s="6">
        <f>IF(staff1[[#This Row],[Tenure]]&lt;3,2%,IF(staff1[[#This Row],[Tenure]]&lt;5,5%,10%))*staff1[[#This Row],[Salary]]</f>
        <v>3668.0190000000002</v>
      </c>
    </row>
    <row r="241" spans="2:16" x14ac:dyDescent="0.25">
      <c r="B241" t="s">
        <v>675</v>
      </c>
      <c r="C241" t="s">
        <v>676</v>
      </c>
      <c r="D241" t="s">
        <v>677</v>
      </c>
      <c r="E241" t="s">
        <v>35</v>
      </c>
      <c r="F241" t="s">
        <v>36</v>
      </c>
      <c r="G241" s="6">
        <v>36536.26</v>
      </c>
      <c r="H241" t="s">
        <v>57</v>
      </c>
      <c r="I241" s="1">
        <v>44358</v>
      </c>
      <c r="J241">
        <v>1</v>
      </c>
      <c r="K241" t="s">
        <v>632</v>
      </c>
      <c r="L241" t="s">
        <v>26</v>
      </c>
      <c r="M241">
        <v>3.0301369863013701</v>
      </c>
      <c r="N241" t="s">
        <v>27</v>
      </c>
      <c r="O241" s="6">
        <f>staff1[[#This Row],[Salary]]*5%</f>
        <v>1826.8130000000001</v>
      </c>
      <c r="P241" s="6">
        <f>IF(staff1[[#This Row],[Tenure]]&lt;3,2%,IF(staff1[[#This Row],[Tenure]]&lt;5,5%,10%))*staff1[[#This Row],[Salary]]</f>
        <v>1826.8130000000001</v>
      </c>
    </row>
    <row r="242" spans="2:16" x14ac:dyDescent="0.25">
      <c r="B242" t="s">
        <v>678</v>
      </c>
      <c r="C242" t="s">
        <v>679</v>
      </c>
      <c r="D242" t="s">
        <v>680</v>
      </c>
      <c r="E242" t="s">
        <v>16</v>
      </c>
      <c r="F242" t="s">
        <v>94</v>
      </c>
      <c r="G242" s="6">
        <v>89829.33</v>
      </c>
      <c r="H242" t="s">
        <v>18</v>
      </c>
      <c r="I242" s="1">
        <v>43794</v>
      </c>
      <c r="J242">
        <v>1</v>
      </c>
      <c r="K242" t="s">
        <v>632</v>
      </c>
      <c r="L242" t="s">
        <v>72</v>
      </c>
      <c r="M242">
        <v>4.5753424657534243</v>
      </c>
      <c r="N242" t="s">
        <v>27</v>
      </c>
      <c r="O242" s="6">
        <f>staff1[[#This Row],[Salary]]*5%</f>
        <v>4491.4665000000005</v>
      </c>
      <c r="P242" s="6">
        <f>IF(staff1[[#This Row],[Tenure]]&lt;3,2%,IF(staff1[[#This Row],[Tenure]]&lt;5,5%,10%))*staff1[[#This Row],[Salary]]</f>
        <v>4491.4665000000005</v>
      </c>
    </row>
    <row r="243" spans="2:16" x14ac:dyDescent="0.25">
      <c r="B243" t="s">
        <v>681</v>
      </c>
      <c r="C243" t="s">
        <v>682</v>
      </c>
      <c r="D243" t="s">
        <v>683</v>
      </c>
      <c r="E243" t="s">
        <v>190</v>
      </c>
      <c r="F243" t="s">
        <v>49</v>
      </c>
      <c r="G243" s="6">
        <v>63447.07</v>
      </c>
      <c r="H243" t="s">
        <v>18</v>
      </c>
      <c r="I243" s="1">
        <v>44148</v>
      </c>
      <c r="J243">
        <v>1</v>
      </c>
      <c r="K243" t="s">
        <v>632</v>
      </c>
      <c r="L243" t="s">
        <v>20</v>
      </c>
      <c r="M243" s="2">
        <v>3.6054794520547944</v>
      </c>
      <c r="N243" t="s">
        <v>27</v>
      </c>
      <c r="O243" s="6">
        <f>staff1[[#This Row],[Salary]]*5%</f>
        <v>3172.3535000000002</v>
      </c>
      <c r="P243" s="6">
        <f>IF(staff1[[#This Row],[Tenure]]&lt;3,2%,IF(staff1[[#This Row],[Tenure]]&lt;5,5%,10%))*staff1[[#This Row],[Salary]]</f>
        <v>3172.3535000000002</v>
      </c>
    </row>
    <row r="244" spans="2:16" x14ac:dyDescent="0.25">
      <c r="B244" t="s">
        <v>684</v>
      </c>
      <c r="C244" t="s">
        <v>685</v>
      </c>
      <c r="D244" t="s">
        <v>686</v>
      </c>
      <c r="E244" t="s">
        <v>35</v>
      </c>
      <c r="F244" t="s">
        <v>126</v>
      </c>
      <c r="G244" s="6">
        <v>80772.92</v>
      </c>
      <c r="H244" t="s">
        <v>18</v>
      </c>
      <c r="I244" s="1">
        <v>44137</v>
      </c>
      <c r="J244">
        <v>1</v>
      </c>
      <c r="K244" t="s">
        <v>632</v>
      </c>
      <c r="L244" t="s">
        <v>38</v>
      </c>
      <c r="M244">
        <v>3.6356164383561644</v>
      </c>
      <c r="N244" t="s">
        <v>27</v>
      </c>
      <c r="O244" s="6">
        <f>staff1[[#This Row],[Salary]]*5%</f>
        <v>4038.6460000000002</v>
      </c>
      <c r="P244" s="6">
        <f>IF(staff1[[#This Row],[Tenure]]&lt;3,2%,IF(staff1[[#This Row],[Tenure]]&lt;5,5%,10%))*staff1[[#This Row],[Salary]]</f>
        <v>4038.6460000000002</v>
      </c>
    </row>
    <row r="245" spans="2:16" x14ac:dyDescent="0.25">
      <c r="B245" t="s">
        <v>687</v>
      </c>
      <c r="C245" t="s">
        <v>688</v>
      </c>
      <c r="D245" t="s">
        <v>689</v>
      </c>
      <c r="E245" t="s">
        <v>35</v>
      </c>
      <c r="F245" t="s">
        <v>53</v>
      </c>
      <c r="G245" s="6">
        <v>52246.29</v>
      </c>
      <c r="H245" t="s">
        <v>18</v>
      </c>
      <c r="I245" s="1">
        <v>43573</v>
      </c>
      <c r="J245">
        <v>1</v>
      </c>
      <c r="K245" t="s">
        <v>632</v>
      </c>
      <c r="L245" t="s">
        <v>20</v>
      </c>
      <c r="M245">
        <v>5.1808219178082195</v>
      </c>
      <c r="N245" t="s">
        <v>27</v>
      </c>
      <c r="O245" s="6">
        <f>staff1[[#This Row],[Salary]]*5%</f>
        <v>2612.3145000000004</v>
      </c>
      <c r="P245" s="6">
        <f>IF(staff1[[#This Row],[Tenure]]&lt;3,2%,IF(staff1[[#This Row],[Tenure]]&lt;5,5%,10%))*staff1[[#This Row],[Salary]]</f>
        <v>5224.6290000000008</v>
      </c>
    </row>
    <row r="246" spans="2:16" x14ac:dyDescent="0.25">
      <c r="B246" t="s">
        <v>690</v>
      </c>
      <c r="C246" t="s">
        <v>691</v>
      </c>
      <c r="D246" t="s">
        <v>692</v>
      </c>
      <c r="E246" t="s">
        <v>16</v>
      </c>
      <c r="F246" t="s">
        <v>116</v>
      </c>
      <c r="G246" s="6">
        <v>58935.92</v>
      </c>
      <c r="H246" t="s">
        <v>18</v>
      </c>
      <c r="I246" s="1">
        <v>43717</v>
      </c>
      <c r="J246">
        <v>1</v>
      </c>
      <c r="K246" t="s">
        <v>632</v>
      </c>
      <c r="L246" t="s">
        <v>26</v>
      </c>
      <c r="M246">
        <v>4.7863013698630139</v>
      </c>
      <c r="N246" t="s">
        <v>27</v>
      </c>
      <c r="O246" s="6">
        <f>staff1[[#This Row],[Salary]]*5%</f>
        <v>2946.7960000000003</v>
      </c>
      <c r="P246" s="6">
        <f>IF(staff1[[#This Row],[Tenure]]&lt;3,2%,IF(staff1[[#This Row],[Tenure]]&lt;5,5%,10%))*staff1[[#This Row],[Salary]]</f>
        <v>2946.7960000000003</v>
      </c>
    </row>
    <row r="247" spans="2:16" x14ac:dyDescent="0.25">
      <c r="B247" t="s">
        <v>693</v>
      </c>
      <c r="C247" t="s">
        <v>694</v>
      </c>
      <c r="D247" t="s">
        <v>695</v>
      </c>
      <c r="E247" t="s">
        <v>35</v>
      </c>
      <c r="F247" t="s">
        <v>64</v>
      </c>
      <c r="G247" s="6">
        <v>83396.5</v>
      </c>
      <c r="H247" t="s">
        <v>18</v>
      </c>
      <c r="I247" s="1">
        <v>44285</v>
      </c>
      <c r="J247">
        <v>1</v>
      </c>
      <c r="K247" t="s">
        <v>632</v>
      </c>
      <c r="L247" t="s">
        <v>80</v>
      </c>
      <c r="M247">
        <v>3.2301369863013698</v>
      </c>
      <c r="N247" t="s">
        <v>27</v>
      </c>
      <c r="O247" s="6">
        <f>staff1[[#This Row],[Salary]]*5%</f>
        <v>4169.8249999999998</v>
      </c>
      <c r="P247" s="6">
        <f>IF(staff1[[#This Row],[Tenure]]&lt;3,2%,IF(staff1[[#This Row],[Tenure]]&lt;5,5%,10%))*staff1[[#This Row],[Salary]]</f>
        <v>4169.8249999999998</v>
      </c>
    </row>
    <row r="248" spans="2:16" x14ac:dyDescent="0.25">
      <c r="B248" t="s">
        <v>696</v>
      </c>
      <c r="C248" t="s">
        <v>697</v>
      </c>
      <c r="D248" t="s">
        <v>698</v>
      </c>
      <c r="E248" t="s">
        <v>35</v>
      </c>
      <c r="F248" t="s">
        <v>87</v>
      </c>
      <c r="G248" s="6">
        <v>111815.49</v>
      </c>
      <c r="H248" t="s">
        <v>37</v>
      </c>
      <c r="I248" s="1">
        <v>43895</v>
      </c>
      <c r="J248">
        <v>0.7</v>
      </c>
      <c r="K248" t="s">
        <v>632</v>
      </c>
      <c r="L248" t="s">
        <v>38</v>
      </c>
      <c r="M248">
        <v>4.2986301369863016</v>
      </c>
      <c r="N248" t="s">
        <v>21</v>
      </c>
      <c r="O248" s="6">
        <f>staff1[[#This Row],[Salary]]*5%</f>
        <v>5590.7745000000004</v>
      </c>
      <c r="P248" s="6">
        <f>IF(staff1[[#This Row],[Tenure]]&lt;3,2%,IF(staff1[[#This Row],[Tenure]]&lt;5,5%,10%))*staff1[[#This Row],[Salary]]</f>
        <v>5590.7745000000004</v>
      </c>
    </row>
    <row r="249" spans="2:16" x14ac:dyDescent="0.25">
      <c r="B249" t="s">
        <v>696</v>
      </c>
      <c r="C249" t="s">
        <v>697</v>
      </c>
      <c r="D249" t="s">
        <v>698</v>
      </c>
      <c r="E249" t="s">
        <v>35</v>
      </c>
      <c r="F249" t="s">
        <v>87</v>
      </c>
      <c r="G249" s="6">
        <v>111815.49</v>
      </c>
      <c r="H249" t="s">
        <v>37</v>
      </c>
      <c r="I249" s="1">
        <v>43895</v>
      </c>
      <c r="J249">
        <v>0.7</v>
      </c>
      <c r="K249" t="s">
        <v>632</v>
      </c>
      <c r="L249" t="s">
        <v>38</v>
      </c>
      <c r="M249">
        <v>4.2986301369863016</v>
      </c>
      <c r="N249" t="s">
        <v>21</v>
      </c>
      <c r="O249" s="6">
        <f>staff1[[#This Row],[Salary]]*5%</f>
        <v>5590.7745000000004</v>
      </c>
      <c r="P249" s="6">
        <f>IF(staff1[[#This Row],[Tenure]]&lt;3,2%,IF(staff1[[#This Row],[Tenure]]&lt;5,5%,10%))*staff1[[#This Row],[Salary]]</f>
        <v>5590.7745000000004</v>
      </c>
    </row>
    <row r="250" spans="2:16" x14ac:dyDescent="0.25">
      <c r="B250" t="s">
        <v>699</v>
      </c>
      <c r="C250" t="s">
        <v>700</v>
      </c>
      <c r="D250" t="s">
        <v>701</v>
      </c>
      <c r="E250" t="s">
        <v>16</v>
      </c>
      <c r="F250" t="s">
        <v>17</v>
      </c>
      <c r="G250" s="6">
        <v>116767.63</v>
      </c>
      <c r="H250" t="s">
        <v>37</v>
      </c>
      <c r="I250" s="1">
        <v>43949</v>
      </c>
      <c r="J250">
        <v>0.4</v>
      </c>
      <c r="K250" t="s">
        <v>632</v>
      </c>
      <c r="L250" t="s">
        <v>72</v>
      </c>
      <c r="M250">
        <v>4.1506849315068495</v>
      </c>
      <c r="N250" t="s">
        <v>21</v>
      </c>
      <c r="O250" s="6">
        <f>staff1[[#This Row],[Salary]]*5%</f>
        <v>5838.3815000000004</v>
      </c>
      <c r="P250" s="6">
        <f>IF(staff1[[#This Row],[Tenure]]&lt;3,2%,IF(staff1[[#This Row],[Tenure]]&lt;5,5%,10%))*staff1[[#This Row],[Salary]]</f>
        <v>5838.3815000000004</v>
      </c>
    </row>
    <row r="251" spans="2:16" x14ac:dyDescent="0.25">
      <c r="B251" t="s">
        <v>699</v>
      </c>
      <c r="C251" t="s">
        <v>702</v>
      </c>
      <c r="D251" t="s">
        <v>703</v>
      </c>
      <c r="E251" t="s">
        <v>16</v>
      </c>
      <c r="F251" t="s">
        <v>17</v>
      </c>
      <c r="G251" s="6">
        <v>116767.63</v>
      </c>
      <c r="H251" t="s">
        <v>37</v>
      </c>
      <c r="I251" s="1">
        <v>43949</v>
      </c>
      <c r="J251">
        <v>0.4</v>
      </c>
      <c r="K251" t="s">
        <v>632</v>
      </c>
      <c r="L251" t="s">
        <v>72</v>
      </c>
      <c r="M251">
        <v>4.1506849315068495</v>
      </c>
      <c r="N251" t="s">
        <v>21</v>
      </c>
      <c r="O251" s="6">
        <f>staff1[[#This Row],[Salary]]*5%</f>
        <v>5838.3815000000004</v>
      </c>
      <c r="P251" s="6">
        <f>IF(staff1[[#This Row],[Tenure]]&lt;3,2%,IF(staff1[[#This Row],[Tenure]]&lt;5,5%,10%))*staff1[[#This Row],[Salary]]</f>
        <v>5838.3815000000004</v>
      </c>
    </row>
    <row r="252" spans="2:16" x14ac:dyDescent="0.25">
      <c r="B252" t="s">
        <v>704</v>
      </c>
      <c r="C252" t="s">
        <v>705</v>
      </c>
      <c r="D252" t="s">
        <v>706</v>
      </c>
      <c r="E252" t="s">
        <v>190</v>
      </c>
      <c r="F252" t="s">
        <v>17</v>
      </c>
      <c r="G252" s="6">
        <v>78840.23</v>
      </c>
      <c r="H252" t="s">
        <v>18</v>
      </c>
      <c r="I252" s="1">
        <v>43633</v>
      </c>
      <c r="J252">
        <v>1</v>
      </c>
      <c r="K252" t="s">
        <v>632</v>
      </c>
      <c r="L252" t="s">
        <v>38</v>
      </c>
      <c r="M252">
        <v>5.0164383561643833</v>
      </c>
      <c r="N252" t="s">
        <v>27</v>
      </c>
      <c r="O252" s="6">
        <f>staff1[[#This Row],[Salary]]*5%</f>
        <v>3942.0115000000001</v>
      </c>
      <c r="P252" s="6">
        <f>IF(staff1[[#This Row],[Tenure]]&lt;3,2%,IF(staff1[[#This Row],[Tenure]]&lt;5,5%,10%))*staff1[[#This Row],[Salary]]</f>
        <v>7884.0230000000001</v>
      </c>
    </row>
    <row r="253" spans="2:16" x14ac:dyDescent="0.25">
      <c r="B253" t="s">
        <v>707</v>
      </c>
      <c r="C253" t="s">
        <v>708</v>
      </c>
      <c r="D253" t="s">
        <v>709</v>
      </c>
      <c r="E253" t="s">
        <v>35</v>
      </c>
      <c r="F253" t="s">
        <v>53</v>
      </c>
      <c r="G253" s="6">
        <v>38825.18</v>
      </c>
      <c r="H253" t="s">
        <v>57</v>
      </c>
      <c r="I253" s="1">
        <v>43696</v>
      </c>
      <c r="J253">
        <v>1</v>
      </c>
      <c r="K253" t="s">
        <v>632</v>
      </c>
      <c r="L253" t="s">
        <v>38</v>
      </c>
      <c r="M253">
        <v>4.8438356164383558</v>
      </c>
      <c r="N253" t="s">
        <v>27</v>
      </c>
      <c r="O253" s="6">
        <f>staff1[[#This Row],[Salary]]*5%</f>
        <v>1941.259</v>
      </c>
      <c r="P253" s="6">
        <f>IF(staff1[[#This Row],[Tenure]]&lt;3,2%,IF(staff1[[#This Row],[Tenure]]&lt;5,5%,10%))*staff1[[#This Row],[Salary]]</f>
        <v>1941.259</v>
      </c>
    </row>
    <row r="254" spans="2:16" x14ac:dyDescent="0.25">
      <c r="B254" t="s">
        <v>710</v>
      </c>
      <c r="C254" t="s">
        <v>711</v>
      </c>
      <c r="D254" t="s">
        <v>712</v>
      </c>
      <c r="E254" t="s">
        <v>35</v>
      </c>
      <c r="F254" t="s">
        <v>25</v>
      </c>
      <c r="G254" s="6">
        <v>106400.02</v>
      </c>
      <c r="H254" t="s">
        <v>37</v>
      </c>
      <c r="I254" s="1">
        <v>44021</v>
      </c>
      <c r="J254">
        <v>1</v>
      </c>
      <c r="K254" t="s">
        <v>632</v>
      </c>
      <c r="L254" t="s">
        <v>72</v>
      </c>
      <c r="M254">
        <v>3.9534246575342467</v>
      </c>
      <c r="N254" t="s">
        <v>27</v>
      </c>
      <c r="O254" s="6">
        <f>staff1[[#This Row],[Salary]]*5%</f>
        <v>5320.0010000000002</v>
      </c>
      <c r="P254" s="6">
        <f>IF(staff1[[#This Row],[Tenure]]&lt;3,2%,IF(staff1[[#This Row],[Tenure]]&lt;5,5%,10%))*staff1[[#This Row],[Salary]]</f>
        <v>5320.0010000000002</v>
      </c>
    </row>
    <row r="255" spans="2:16" x14ac:dyDescent="0.25">
      <c r="B255" t="s">
        <v>710</v>
      </c>
      <c r="C255" t="s">
        <v>713</v>
      </c>
      <c r="D255" t="s">
        <v>714</v>
      </c>
      <c r="E255" t="s">
        <v>35</v>
      </c>
      <c r="F255" t="s">
        <v>25</v>
      </c>
      <c r="G255" s="6">
        <v>106400.02</v>
      </c>
      <c r="H255" t="s">
        <v>37</v>
      </c>
      <c r="I255" s="1">
        <v>44021</v>
      </c>
      <c r="J255">
        <v>1</v>
      </c>
      <c r="K255" t="s">
        <v>632</v>
      </c>
      <c r="L255" t="s">
        <v>72</v>
      </c>
      <c r="M255">
        <v>3.9534246575342467</v>
      </c>
      <c r="N255" t="s">
        <v>27</v>
      </c>
      <c r="O255" s="6">
        <f>staff1[[#This Row],[Salary]]*5%</f>
        <v>5320.0010000000002</v>
      </c>
      <c r="P255" s="6">
        <f>IF(staff1[[#This Row],[Tenure]]&lt;3,2%,IF(staff1[[#This Row],[Tenure]]&lt;5,5%,10%))*staff1[[#This Row],[Salary]]</f>
        <v>5320.0010000000002</v>
      </c>
    </row>
    <row r="256" spans="2:16" x14ac:dyDescent="0.25">
      <c r="B256" t="s">
        <v>715</v>
      </c>
      <c r="C256" t="s">
        <v>716</v>
      </c>
      <c r="D256" t="s">
        <v>717</v>
      </c>
      <c r="E256" t="s">
        <v>35</v>
      </c>
      <c r="F256" t="s">
        <v>68</v>
      </c>
      <c r="G256" s="6">
        <v>28160.79</v>
      </c>
      <c r="H256" t="s">
        <v>57</v>
      </c>
      <c r="I256" s="1">
        <v>43129</v>
      </c>
      <c r="J256">
        <v>1</v>
      </c>
      <c r="K256" t="s">
        <v>632</v>
      </c>
      <c r="L256" t="s">
        <v>38</v>
      </c>
      <c r="M256">
        <v>6.397260273972603</v>
      </c>
      <c r="N256" t="s">
        <v>27</v>
      </c>
      <c r="O256" s="6">
        <f>staff1[[#This Row],[Salary]]*5%</f>
        <v>1408.0395000000001</v>
      </c>
      <c r="P256" s="6">
        <f>IF(staff1[[#This Row],[Tenure]]&lt;3,2%,IF(staff1[[#This Row],[Tenure]]&lt;5,5%,10%))*staff1[[#This Row],[Salary]]</f>
        <v>2816.0790000000002</v>
      </c>
    </row>
    <row r="257" spans="2:16" x14ac:dyDescent="0.25">
      <c r="B257" t="s">
        <v>718</v>
      </c>
      <c r="C257" t="s">
        <v>719</v>
      </c>
      <c r="D257" t="s">
        <v>720</v>
      </c>
      <c r="E257" t="s">
        <v>16</v>
      </c>
      <c r="F257" t="s">
        <v>17</v>
      </c>
      <c r="G257" s="6">
        <v>58744.17</v>
      </c>
      <c r="H257" t="s">
        <v>18</v>
      </c>
      <c r="I257" s="1">
        <v>43171</v>
      </c>
      <c r="J257">
        <v>1</v>
      </c>
      <c r="K257" t="s">
        <v>632</v>
      </c>
      <c r="L257" t="s">
        <v>31</v>
      </c>
      <c r="M257">
        <v>6.2821917808219174</v>
      </c>
      <c r="N257" t="s">
        <v>27</v>
      </c>
      <c r="O257" s="6">
        <f>staff1[[#This Row],[Salary]]*5%</f>
        <v>2937.2085000000002</v>
      </c>
      <c r="P257" s="6">
        <f>IF(staff1[[#This Row],[Tenure]]&lt;3,2%,IF(staff1[[#This Row],[Tenure]]&lt;5,5%,10%))*staff1[[#This Row],[Salary]]</f>
        <v>5874.4170000000004</v>
      </c>
    </row>
    <row r="258" spans="2:16" x14ac:dyDescent="0.25">
      <c r="B258" t="s">
        <v>721</v>
      </c>
      <c r="C258" t="s">
        <v>722</v>
      </c>
      <c r="D258" t="s">
        <v>723</v>
      </c>
      <c r="E258" t="s">
        <v>16</v>
      </c>
      <c r="F258" t="s">
        <v>42</v>
      </c>
      <c r="G258" s="6">
        <v>70755.5</v>
      </c>
      <c r="H258" t="s">
        <v>18</v>
      </c>
      <c r="I258" s="1">
        <v>44090</v>
      </c>
      <c r="J258">
        <v>0.8</v>
      </c>
      <c r="K258" t="s">
        <v>632</v>
      </c>
      <c r="L258" t="s">
        <v>26</v>
      </c>
      <c r="M258">
        <v>3.7643835616438355</v>
      </c>
      <c r="N258" t="s">
        <v>21</v>
      </c>
      <c r="O258" s="6">
        <f>staff1[[#This Row],[Salary]]*5%</f>
        <v>3537.7750000000001</v>
      </c>
      <c r="P258" s="6">
        <f>IF(staff1[[#This Row],[Tenure]]&lt;3,2%,IF(staff1[[#This Row],[Tenure]]&lt;5,5%,10%))*staff1[[#This Row],[Salary]]</f>
        <v>3537.7750000000001</v>
      </c>
    </row>
    <row r="259" spans="2:16" x14ac:dyDescent="0.25">
      <c r="B259" t="s">
        <v>724</v>
      </c>
      <c r="C259" t="s">
        <v>725</v>
      </c>
      <c r="D259" t="s">
        <v>726</v>
      </c>
      <c r="E259" t="s">
        <v>16</v>
      </c>
      <c r="F259" t="s">
        <v>94</v>
      </c>
      <c r="G259" s="6">
        <v>106665.67</v>
      </c>
      <c r="H259" t="s">
        <v>37</v>
      </c>
      <c r="I259" s="1">
        <v>43311</v>
      </c>
      <c r="J259">
        <v>1</v>
      </c>
      <c r="K259" t="s">
        <v>632</v>
      </c>
      <c r="L259" t="s">
        <v>31</v>
      </c>
      <c r="M259">
        <v>5.8986301369863012</v>
      </c>
      <c r="N259" t="s">
        <v>27</v>
      </c>
      <c r="O259" s="6">
        <f>staff1[[#This Row],[Salary]]*5%</f>
        <v>5333.2835000000005</v>
      </c>
      <c r="P259" s="6">
        <f>IF(staff1[[#This Row],[Tenure]]&lt;3,2%,IF(staff1[[#This Row],[Tenure]]&lt;5,5%,10%))*staff1[[#This Row],[Salary]]</f>
        <v>10666.567000000001</v>
      </c>
    </row>
    <row r="260" spans="2:16" x14ac:dyDescent="0.25">
      <c r="B260" t="s">
        <v>727</v>
      </c>
      <c r="C260" t="s">
        <v>728</v>
      </c>
      <c r="D260" t="s">
        <v>729</v>
      </c>
      <c r="E260" t="s">
        <v>35</v>
      </c>
      <c r="F260" t="s">
        <v>64</v>
      </c>
      <c r="G260" s="6">
        <v>76320.44</v>
      </c>
      <c r="H260" t="s">
        <v>18</v>
      </c>
      <c r="I260" s="1">
        <v>44383</v>
      </c>
      <c r="J260">
        <v>0.8</v>
      </c>
      <c r="K260" t="s">
        <v>632</v>
      </c>
      <c r="L260" t="s">
        <v>38</v>
      </c>
      <c r="M260">
        <v>2.9616438356164383</v>
      </c>
      <c r="N260" t="s">
        <v>21</v>
      </c>
      <c r="O260" s="6">
        <f>staff1[[#This Row],[Salary]]*5%</f>
        <v>3816.0220000000004</v>
      </c>
      <c r="P260" s="6">
        <f>IF(staff1[[#This Row],[Tenure]]&lt;3,2%,IF(staff1[[#This Row],[Tenure]]&lt;5,5%,10%))*staff1[[#This Row],[Salary]]</f>
        <v>1526.4088000000002</v>
      </c>
    </row>
    <row r="261" spans="2:16" x14ac:dyDescent="0.25">
      <c r="B261" t="s">
        <v>730</v>
      </c>
      <c r="C261" t="s">
        <v>731</v>
      </c>
      <c r="D261" t="s">
        <v>732</v>
      </c>
      <c r="E261" t="s">
        <v>16</v>
      </c>
      <c r="F261" t="s">
        <v>94</v>
      </c>
      <c r="G261" s="6">
        <v>110906.35</v>
      </c>
      <c r="H261" t="s">
        <v>37</v>
      </c>
      <c r="I261" s="1">
        <v>43434</v>
      </c>
      <c r="J261">
        <v>1</v>
      </c>
      <c r="K261" t="s">
        <v>632</v>
      </c>
      <c r="L261" t="s">
        <v>20</v>
      </c>
      <c r="M261">
        <v>5.5616438356164384</v>
      </c>
      <c r="N261" t="s">
        <v>27</v>
      </c>
      <c r="O261" s="6">
        <f>staff1[[#This Row],[Salary]]*5%</f>
        <v>5545.317500000001</v>
      </c>
      <c r="P261" s="6">
        <f>IF(staff1[[#This Row],[Tenure]]&lt;3,2%,IF(staff1[[#This Row],[Tenure]]&lt;5,5%,10%))*staff1[[#This Row],[Salary]]</f>
        <v>11090.635000000002</v>
      </c>
    </row>
    <row r="262" spans="2:16" x14ac:dyDescent="0.25">
      <c r="B262" t="s">
        <v>733</v>
      </c>
      <c r="C262" t="s">
        <v>734</v>
      </c>
      <c r="D262" t="s">
        <v>735</v>
      </c>
      <c r="E262" t="s">
        <v>16</v>
      </c>
      <c r="F262" t="s">
        <v>64</v>
      </c>
      <c r="G262" s="6">
        <v>29808.07</v>
      </c>
      <c r="H262" t="s">
        <v>57</v>
      </c>
      <c r="I262" s="1">
        <v>43291</v>
      </c>
      <c r="J262">
        <v>0.3</v>
      </c>
      <c r="K262" t="s">
        <v>632</v>
      </c>
      <c r="L262" t="s">
        <v>26</v>
      </c>
      <c r="M262">
        <v>5.9534246575342467</v>
      </c>
      <c r="N262" t="s">
        <v>21</v>
      </c>
      <c r="O262" s="6">
        <f>staff1[[#This Row],[Salary]]*5%</f>
        <v>1490.4035000000001</v>
      </c>
      <c r="P262" s="6">
        <f>IF(staff1[[#This Row],[Tenure]]&lt;3,2%,IF(staff1[[#This Row],[Tenure]]&lt;5,5%,10%))*staff1[[#This Row],[Salary]]</f>
        <v>2980.8070000000002</v>
      </c>
    </row>
    <row r="263" spans="2:16" x14ac:dyDescent="0.25">
      <c r="B263" t="s">
        <v>736</v>
      </c>
      <c r="C263" t="s">
        <v>737</v>
      </c>
      <c r="D263" t="s">
        <v>738</v>
      </c>
      <c r="E263" t="s">
        <v>35</v>
      </c>
      <c r="F263" t="s">
        <v>36</v>
      </c>
      <c r="G263" s="6">
        <v>47362.62</v>
      </c>
      <c r="H263" t="s">
        <v>57</v>
      </c>
      <c r="I263" s="1">
        <v>43973</v>
      </c>
      <c r="J263">
        <v>1</v>
      </c>
      <c r="K263" t="s">
        <v>632</v>
      </c>
      <c r="L263" t="s">
        <v>38</v>
      </c>
      <c r="M263">
        <v>4.0849315068493155</v>
      </c>
      <c r="N263" t="s">
        <v>27</v>
      </c>
      <c r="O263" s="6">
        <f>staff1[[#This Row],[Salary]]*5%</f>
        <v>2368.1310000000003</v>
      </c>
      <c r="P263" s="6">
        <f>IF(staff1[[#This Row],[Tenure]]&lt;3,2%,IF(staff1[[#This Row],[Tenure]]&lt;5,5%,10%))*staff1[[#This Row],[Salary]]</f>
        <v>2368.1310000000003</v>
      </c>
    </row>
    <row r="275" spans="5:11" x14ac:dyDescent="0.25">
      <c r="E275" s="9"/>
      <c r="F275" s="8">
        <v>0.61</v>
      </c>
      <c r="G275" s="8">
        <v>51.11</v>
      </c>
      <c r="H275" s="8">
        <v>0.48</v>
      </c>
      <c r="I275" s="8">
        <v>0.56999999999999995</v>
      </c>
      <c r="J275" s="8">
        <v>0.92</v>
      </c>
    </row>
    <row r="276" spans="5:11" x14ac:dyDescent="0.25">
      <c r="E276" s="10" t="s">
        <v>740</v>
      </c>
      <c r="F276" s="10" t="s">
        <v>741</v>
      </c>
      <c r="G276" s="10" t="s">
        <v>742</v>
      </c>
      <c r="H276" s="10" t="s">
        <v>743</v>
      </c>
      <c r="I276" s="10" t="s">
        <v>744</v>
      </c>
      <c r="J276" s="10" t="s">
        <v>745</v>
      </c>
    </row>
    <row r="277" spans="5:11" x14ac:dyDescent="0.25">
      <c r="E277" s="11">
        <v>1000</v>
      </c>
      <c r="F277" s="12">
        <f>$E277*F$275</f>
        <v>610</v>
      </c>
      <c r="G277" s="12">
        <f>$E277*G$275</f>
        <v>51110</v>
      </c>
      <c r="H277" s="12">
        <f t="shared" ref="G277:J281" si="0">$E277*H$275</f>
        <v>480</v>
      </c>
      <c r="I277" s="12">
        <f t="shared" si="0"/>
        <v>570</v>
      </c>
      <c r="J277" s="12">
        <f t="shared" si="0"/>
        <v>920</v>
      </c>
    </row>
    <row r="278" spans="5:11" x14ac:dyDescent="0.25">
      <c r="E278" s="11">
        <v>10000</v>
      </c>
      <c r="F278" s="12">
        <f>$E278*F$275</f>
        <v>6100</v>
      </c>
      <c r="G278" s="12">
        <f t="shared" si="0"/>
        <v>511100</v>
      </c>
      <c r="H278" s="12">
        <f t="shared" si="0"/>
        <v>4800</v>
      </c>
      <c r="I278" s="12">
        <f t="shared" si="0"/>
        <v>5699.9999999999991</v>
      </c>
      <c r="J278" s="12">
        <f t="shared" si="0"/>
        <v>9200</v>
      </c>
    </row>
    <row r="279" spans="5:11" x14ac:dyDescent="0.25">
      <c r="E279" s="11">
        <v>50000</v>
      </c>
      <c r="F279" s="12">
        <f>$E279*F$275</f>
        <v>30500</v>
      </c>
      <c r="G279" s="12">
        <f t="shared" si="0"/>
        <v>2555500</v>
      </c>
      <c r="H279" s="12">
        <f t="shared" si="0"/>
        <v>24000</v>
      </c>
      <c r="I279" s="12">
        <f t="shared" si="0"/>
        <v>28499.999999999996</v>
      </c>
      <c r="J279" s="12">
        <f t="shared" si="0"/>
        <v>46000</v>
      </c>
    </row>
    <row r="280" spans="5:11" x14ac:dyDescent="0.25">
      <c r="E280" s="11">
        <v>75000</v>
      </c>
      <c r="F280" s="12">
        <f>$E280*F$275</f>
        <v>45750</v>
      </c>
      <c r="G280" s="12">
        <f t="shared" si="0"/>
        <v>3833250</v>
      </c>
      <c r="H280" s="12">
        <f t="shared" si="0"/>
        <v>36000</v>
      </c>
      <c r="I280" s="12">
        <f t="shared" si="0"/>
        <v>42749.999999999993</v>
      </c>
      <c r="J280" s="12">
        <f t="shared" si="0"/>
        <v>69000</v>
      </c>
    </row>
    <row r="281" spans="5:11" x14ac:dyDescent="0.25">
      <c r="E281" s="11">
        <v>100000</v>
      </c>
      <c r="F281" s="12">
        <f>$E281*F$275</f>
        <v>61000</v>
      </c>
      <c r="G281" s="12">
        <f t="shared" si="0"/>
        <v>5111000</v>
      </c>
      <c r="H281" s="12">
        <f t="shared" si="0"/>
        <v>48000</v>
      </c>
      <c r="I281" s="12">
        <f t="shared" si="0"/>
        <v>56999.999999999993</v>
      </c>
      <c r="J281" s="12">
        <f t="shared" si="0"/>
        <v>92000</v>
      </c>
    </row>
    <row r="283" spans="5:11" x14ac:dyDescent="0.25">
      <c r="G283" t="s">
        <v>746</v>
      </c>
    </row>
    <row r="285" spans="5:11" x14ac:dyDescent="0.25">
      <c r="F285" s="9"/>
      <c r="G285" s="15">
        <v>0.61</v>
      </c>
      <c r="H285" s="15">
        <v>51.11</v>
      </c>
      <c r="I285" s="15">
        <v>0.48</v>
      </c>
      <c r="J285" s="15">
        <v>0.56999999999999995</v>
      </c>
      <c r="K285" s="15">
        <v>0.92</v>
      </c>
    </row>
    <row r="286" spans="5:11" x14ac:dyDescent="0.25">
      <c r="F286" s="10" t="s">
        <v>740</v>
      </c>
      <c r="G286" s="10" t="s">
        <v>741</v>
      </c>
      <c r="H286" s="10" t="s">
        <v>742</v>
      </c>
      <c r="I286" s="10" t="s">
        <v>743</v>
      </c>
      <c r="J286" s="10" t="s">
        <v>744</v>
      </c>
      <c r="K286" s="10" t="s">
        <v>745</v>
      </c>
    </row>
    <row r="287" spans="5:11" x14ac:dyDescent="0.25">
      <c r="F287" s="14">
        <v>1000</v>
      </c>
      <c r="G287" s="13" t="e" cm="1" vm="1">
        <f t="array" aca="1" ref="G287" ca="1">Table36[Amount(In NZD)]*G285:K285</f>
        <v>#VALUE!</v>
      </c>
      <c r="H287" s="12">
        <f>$E287*H$275</f>
        <v>0</v>
      </c>
      <c r="I287" s="12">
        <f t="shared" ref="H287:K291" si="1">$E287*I$275</f>
        <v>0</v>
      </c>
      <c r="J287" s="12">
        <f t="shared" si="1"/>
        <v>0</v>
      </c>
      <c r="K287" s="12">
        <f t="shared" si="1"/>
        <v>0</v>
      </c>
    </row>
    <row r="288" spans="5:11" x14ac:dyDescent="0.25">
      <c r="F288" s="14">
        <v>10000</v>
      </c>
      <c r="G288" s="12" t="e" cm="1" vm="1">
        <f t="array" aca="1" ref="G288" ca="1">Table36[Amount(In NZD)]*G286:K286</f>
        <v>#VALUE!</v>
      </c>
      <c r="H288" s="12">
        <f t="shared" si="1"/>
        <v>0</v>
      </c>
      <c r="I288" s="12">
        <f t="shared" si="1"/>
        <v>0</v>
      </c>
      <c r="J288" s="12">
        <f t="shared" si="1"/>
        <v>0</v>
      </c>
      <c r="K288" s="12">
        <f t="shared" si="1"/>
        <v>0</v>
      </c>
    </row>
    <row r="289" spans="6:11" x14ac:dyDescent="0.25">
      <c r="F289" s="14">
        <v>50000</v>
      </c>
      <c r="G289" s="12" t="e" cm="1" vm="1">
        <f t="array" aca="1" ref="G289" ca="1">Table36[Amount(In NZD)]*G287:K287</f>
        <v>#VALUE!</v>
      </c>
      <c r="H289" s="12">
        <f t="shared" si="1"/>
        <v>0</v>
      </c>
      <c r="I289" s="12">
        <f t="shared" si="1"/>
        <v>0</v>
      </c>
      <c r="J289" s="12">
        <f t="shared" si="1"/>
        <v>0</v>
      </c>
      <c r="K289" s="12">
        <f t="shared" si="1"/>
        <v>0</v>
      </c>
    </row>
    <row r="290" spans="6:11" x14ac:dyDescent="0.25">
      <c r="F290" s="14">
        <v>75000</v>
      </c>
      <c r="G290" s="12" t="e" cm="1" vm="1">
        <f t="array" aca="1" ref="G290" ca="1">Table36[Amount(In NZD)]*G288:K288</f>
        <v>#VALUE!</v>
      </c>
      <c r="H290" s="12">
        <f t="shared" si="1"/>
        <v>0</v>
      </c>
      <c r="I290" s="12">
        <f t="shared" si="1"/>
        <v>0</v>
      </c>
      <c r="J290" s="12">
        <f t="shared" si="1"/>
        <v>0</v>
      </c>
      <c r="K290" s="12">
        <f t="shared" si="1"/>
        <v>0</v>
      </c>
    </row>
    <row r="291" spans="6:11" x14ac:dyDescent="0.25">
      <c r="F291" s="14">
        <v>100000</v>
      </c>
      <c r="G291" s="12" t="e" cm="1" vm="1">
        <f t="array" aca="1" ref="G291" ca="1">Table36[Amount(In NZD)]*G289:K289</f>
        <v>#VALUE!</v>
      </c>
      <c r="H291" s="12">
        <f t="shared" si="1"/>
        <v>0</v>
      </c>
      <c r="I291" s="12">
        <f t="shared" si="1"/>
        <v>0</v>
      </c>
      <c r="J291" s="12">
        <f t="shared" si="1"/>
        <v>0</v>
      </c>
      <c r="K291" s="12">
        <f t="shared" si="1"/>
        <v>0</v>
      </c>
    </row>
  </sheetData>
  <phoneticPr fontId="3" type="noConversion"/>
  <pageMargins left="0.7" right="0.7" top="0.75" bottom="0.75" header="0.3" footer="0.3"/>
  <pageSetup paperSize="9" orientation="portrait" r:id="rId1"/>
  <drawing r:id="rId2"/>
  <tableParts count="3">
    <tablePart r:id="rId3"/>
    <tablePart r:id="rId4"/>
    <tablePart r:id="rId5"/>
  </tableParts>
  <extLst>
    <ext xmlns:x15="http://schemas.microsoft.com/office/spreadsheetml/2010/11/main" uri="{3A4CF648-6AED-40f4-86FF-DC5316D8AED3}">
      <x14:slicerList xmlns:x14="http://schemas.microsoft.com/office/spreadsheetml/2009/9/main">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2D217A-6717-4124-AC56-B5316129EF0B}">
  <dimension ref="A1:P257"/>
  <sheetViews>
    <sheetView tabSelected="1" topLeftCell="A186" workbookViewId="0">
      <selection activeCell="K206" sqref="K206"/>
    </sheetView>
  </sheetViews>
  <sheetFormatPr defaultRowHeight="15" x14ac:dyDescent="0.25"/>
  <cols>
    <col min="2" max="2" width="26" customWidth="1"/>
    <col min="3" max="3" width="19.140625" customWidth="1"/>
    <col min="4" max="4" width="14.42578125" customWidth="1"/>
    <col min="5" max="6" width="20" customWidth="1"/>
    <col min="7" max="7" width="24" customWidth="1"/>
    <col min="8" max="8" width="12.42578125" customWidth="1"/>
    <col min="9" max="9" width="16" customWidth="1"/>
    <col min="10" max="10" width="10.42578125" bestFit="1" customWidth="1"/>
  </cols>
  <sheetData>
    <row r="1" spans="2:7" x14ac:dyDescent="0.25">
      <c r="B1" s="23" t="s">
        <v>753</v>
      </c>
      <c r="C1" s="23"/>
      <c r="D1" s="23"/>
      <c r="E1" s="23"/>
      <c r="F1" s="23"/>
      <c r="G1" s="23"/>
    </row>
    <row r="2" spans="2:7" ht="15.75" x14ac:dyDescent="0.25">
      <c r="B2" s="20" t="s">
        <v>4</v>
      </c>
      <c r="C2" s="20" t="s">
        <v>749</v>
      </c>
      <c r="D2" s="20" t="s">
        <v>750</v>
      </c>
      <c r="E2" s="20" t="s">
        <v>751</v>
      </c>
      <c r="F2" s="20" t="s">
        <v>760</v>
      </c>
      <c r="G2" s="20" t="s">
        <v>752</v>
      </c>
    </row>
    <row r="3" spans="2:7" x14ac:dyDescent="0.25">
      <c r="B3" s="17" t="s">
        <v>17</v>
      </c>
      <c r="C3">
        <f>COUNTIFS(staff1[Department],B3)</f>
        <v>24</v>
      </c>
      <c r="D3" s="21">
        <f>SUMIFS(staff1[Salary],staff1[Department],Table1[[#This Row],[Department]])</f>
        <v>2013215.1600000001</v>
      </c>
      <c r="E3" s="21">
        <f>AVERAGEIFS(staff1[Salary],staff1[Department],Table1[[#This Row],[Department]])</f>
        <v>83883.965000000011</v>
      </c>
      <c r="F3" s="21"/>
      <c r="G3">
        <f>COUNTIFS(staff1[Department], Table1[[#This Row],[Department]], staff1[Employee type], "Permanent")</f>
        <v>11</v>
      </c>
    </row>
    <row r="4" spans="2:7" x14ac:dyDescent="0.25">
      <c r="B4" s="16" t="s">
        <v>25</v>
      </c>
      <c r="C4">
        <f>COUNTIFS(staff1[Department],B4)</f>
        <v>26</v>
      </c>
      <c r="D4" s="21">
        <f>SUMIFS(staff1[Salary],staff1[Department],Table1[[#This Row],[Department]])</f>
        <v>2074326.9500000002</v>
      </c>
      <c r="E4" s="21">
        <f>AVERAGEIFS(staff1[Salary],staff1[Department],Table1[[#This Row],[Department]])</f>
        <v>79781.805769230778</v>
      </c>
      <c r="F4" s="21"/>
      <c r="G4">
        <f>COUNTIFS(staff1[Department], Table1[[#This Row],[Department]], staff1[Employee type], "Permanent")</f>
        <v>18</v>
      </c>
    </row>
    <row r="5" spans="2:7" x14ac:dyDescent="0.25">
      <c r="B5" s="17" t="s">
        <v>36</v>
      </c>
      <c r="C5">
        <f>COUNTIFS(staff1[Department],B5)</f>
        <v>26</v>
      </c>
      <c r="D5" s="21">
        <f>SUMIFS(staff1[Salary],staff1[Department],Table1[[#This Row],[Department]])</f>
        <v>2131387.4899999998</v>
      </c>
      <c r="E5" s="21">
        <f>AVERAGEIFS(staff1[Salary],staff1[Department],Table1[[#This Row],[Department]])</f>
        <v>81976.441923076913</v>
      </c>
      <c r="F5" s="21"/>
      <c r="G5">
        <f>COUNTIFS(staff1[Department], Table1[[#This Row],[Department]], staff1[Employee type], "Permanent")</f>
        <v>16</v>
      </c>
    </row>
    <row r="6" spans="2:7" x14ac:dyDescent="0.25">
      <c r="B6" s="16" t="s">
        <v>42</v>
      </c>
      <c r="C6">
        <f>COUNTIFS(staff1[Department],B6)</f>
        <v>12</v>
      </c>
      <c r="D6" s="21">
        <f>SUMIFS(staff1[Salary],staff1[Department],Table1[[#This Row],[Department]])</f>
        <v>773295.6</v>
      </c>
      <c r="E6" s="21">
        <f>AVERAGEIFS(staff1[Salary],staff1[Department],Table1[[#This Row],[Department]])</f>
        <v>64441.299999999996</v>
      </c>
      <c r="F6" s="21"/>
      <c r="G6">
        <f>COUNTIFS(staff1[Department], Table1[[#This Row],[Department]], staff1[Employee type], "Permanent")</f>
        <v>9</v>
      </c>
    </row>
    <row r="7" spans="2:7" x14ac:dyDescent="0.25">
      <c r="B7" s="16" t="s">
        <v>49</v>
      </c>
      <c r="C7">
        <f>COUNTIFS(staff1[Department],B7)</f>
        <v>21</v>
      </c>
      <c r="D7" s="21">
        <f>SUMIFS(staff1[Salary],staff1[Department],Table1[[#This Row],[Department]])</f>
        <v>1412092.87</v>
      </c>
      <c r="E7" s="21">
        <f>AVERAGEIFS(staff1[Salary],staff1[Department],Table1[[#This Row],[Department]])</f>
        <v>67242.51761904762</v>
      </c>
      <c r="F7" s="21"/>
      <c r="G7">
        <f>COUNTIFS(staff1[Department], Table1[[#This Row],[Department]], staff1[Employee type], "Permanent")</f>
        <v>13</v>
      </c>
    </row>
    <row r="8" spans="2:7" x14ac:dyDescent="0.25">
      <c r="B8" s="17" t="s">
        <v>53</v>
      </c>
      <c r="C8">
        <f>COUNTIFS(staff1[Department],B8)</f>
        <v>26</v>
      </c>
      <c r="D8" s="21">
        <f>SUMIFS(staff1[Salary],staff1[Department],Table1[[#This Row],[Department]])</f>
        <v>1814980.59</v>
      </c>
      <c r="E8" s="21">
        <f>AVERAGEIFS(staff1[Salary],staff1[Department],Table1[[#This Row],[Department]])</f>
        <v>69806.945769230777</v>
      </c>
      <c r="F8" s="21"/>
      <c r="G8">
        <f>COUNTIFS(staff1[Department], Table1[[#This Row],[Department]], staff1[Employee type], "Permanent")</f>
        <v>18</v>
      </c>
    </row>
    <row r="9" spans="2:7" x14ac:dyDescent="0.25">
      <c r="B9" s="16" t="s">
        <v>64</v>
      </c>
      <c r="C9">
        <f>COUNTIFS(staff1[Department],B9)</f>
        <v>22</v>
      </c>
      <c r="D9" s="21">
        <f>SUMIFS(staff1[Salary],staff1[Department],Table1[[#This Row],[Department]])</f>
        <v>1608406.3100000003</v>
      </c>
      <c r="E9" s="21">
        <f>AVERAGEIFS(staff1[Salary],staff1[Department],Table1[[#This Row],[Department]])</f>
        <v>73109.377727272746</v>
      </c>
      <c r="F9" s="21"/>
      <c r="G9">
        <f>COUNTIFS(staff1[Department], Table1[[#This Row],[Department]], staff1[Employee type], "Permanent")</f>
        <v>13</v>
      </c>
    </row>
    <row r="10" spans="2:7" x14ac:dyDescent="0.25">
      <c r="B10" s="17" t="s">
        <v>68</v>
      </c>
      <c r="C10">
        <f>COUNTIFS(staff1[Department],B10)</f>
        <v>18</v>
      </c>
      <c r="D10" s="21">
        <f>SUMIFS(staff1[Salary],staff1[Department],Table1[[#This Row],[Department]])</f>
        <v>1204393.78</v>
      </c>
      <c r="E10" s="21">
        <f>AVERAGEIFS(staff1[Salary],staff1[Department],Table1[[#This Row],[Department]])</f>
        <v>66910.765555555554</v>
      </c>
      <c r="F10" s="21"/>
      <c r="G10">
        <f>COUNTIFS(staff1[Department], Table1[[#This Row],[Department]], staff1[Employee type], "Permanent")</f>
        <v>11</v>
      </c>
    </row>
    <row r="11" spans="2:7" x14ac:dyDescent="0.25">
      <c r="B11" s="16" t="s">
        <v>87</v>
      </c>
      <c r="C11">
        <f>COUNTIFS(staff1[Department],B11)</f>
        <v>21</v>
      </c>
      <c r="D11" s="21">
        <f>SUMIFS(staff1[Salary],staff1[Department],Table1[[#This Row],[Department]])</f>
        <v>1568153.47</v>
      </c>
      <c r="E11" s="21">
        <f>AVERAGEIFS(staff1[Salary],staff1[Department],Table1[[#This Row],[Department]])</f>
        <v>74673.974761904756</v>
      </c>
      <c r="F11" s="21"/>
      <c r="G11">
        <f>COUNTIFS(staff1[Department], Table1[[#This Row],[Department]], staff1[Employee type], "Permanent")</f>
        <v>16</v>
      </c>
    </row>
    <row r="12" spans="2:7" x14ac:dyDescent="0.25">
      <c r="B12" s="16" t="s">
        <v>94</v>
      </c>
      <c r="C12">
        <f>COUNTIFS(staff1[Department],B12)</f>
        <v>29</v>
      </c>
      <c r="D12" s="21">
        <f>SUMIFS(staff1[Salary],staff1[Department],Table1[[#This Row],[Department]])</f>
        <v>2180192.8699999992</v>
      </c>
      <c r="E12" s="21">
        <f>AVERAGEIFS(staff1[Salary],staff1[Department],Table1[[#This Row],[Department]])</f>
        <v>75179.064482758593</v>
      </c>
      <c r="F12" s="21"/>
      <c r="G12">
        <f>COUNTIFS(staff1[Department], Table1[[#This Row],[Department]], staff1[Employee type], "Permanent")</f>
        <v>19</v>
      </c>
    </row>
    <row r="13" spans="2:7" x14ac:dyDescent="0.25">
      <c r="B13" s="16" t="s">
        <v>116</v>
      </c>
      <c r="C13">
        <f>COUNTIFS(staff1[Department],B13)</f>
        <v>17</v>
      </c>
      <c r="D13" s="21">
        <f>SUMIFS(staff1[Salary],staff1[Department],Table1[[#This Row],[Department]])</f>
        <v>1129351.75</v>
      </c>
      <c r="E13" s="21">
        <f>AVERAGEIFS(staff1[Salary],staff1[Department],Table1[[#This Row],[Department]])</f>
        <v>66432.455882352937</v>
      </c>
      <c r="F13" s="21"/>
      <c r="G13">
        <f>COUNTIFS(staff1[Department], Table1[[#This Row],[Department]], staff1[Employee type], "Permanent")</f>
        <v>11</v>
      </c>
    </row>
    <row r="14" spans="2:7" x14ac:dyDescent="0.25">
      <c r="B14" s="16" t="s">
        <v>17</v>
      </c>
      <c r="C14">
        <f>COUNTIFS(staff1[Department],B14)</f>
        <v>24</v>
      </c>
      <c r="D14" s="21">
        <f>SUMIFS(staff1[Salary],staff1[Department],Table1[[#This Row],[Department]])</f>
        <v>2013215.1600000001</v>
      </c>
      <c r="E14" s="21">
        <f>AVERAGEIFS(staff1[Salary],staff1[Department],Table1[[#This Row],[Department]])</f>
        <v>83883.965000000011</v>
      </c>
      <c r="F14" s="21"/>
      <c r="G14">
        <f>COUNTIFS(staff1[Department], Table1[[#This Row],[Department]], staff1[Employee type], "Permanent")</f>
        <v>11</v>
      </c>
    </row>
    <row r="15" spans="2:7" x14ac:dyDescent="0.25">
      <c r="B15" s="17" t="s">
        <v>126</v>
      </c>
      <c r="C15">
        <f>COUNTIFS(staff1[Department],B15)</f>
        <v>18</v>
      </c>
      <c r="D15" s="21">
        <f>SUMIFS(staff1[Salary],staff1[Department],Table1[[#This Row],[Department]])</f>
        <v>1294147.72</v>
      </c>
      <c r="E15" s="21">
        <f>AVERAGEIFS(staff1[Salary],staff1[Department],Table1[[#This Row],[Department]])</f>
        <v>71897.095555555556</v>
      </c>
      <c r="F15" s="21"/>
      <c r="G15">
        <f>COUNTIFS(staff1[Department], Table1[[#This Row],[Department]], staff1[Employee type], "Permanent")</f>
        <v>13</v>
      </c>
    </row>
    <row r="17" spans="2:8" x14ac:dyDescent="0.25">
      <c r="B17" s="23" t="s">
        <v>754</v>
      </c>
      <c r="C17" s="23"/>
      <c r="D17" s="23"/>
      <c r="E17" s="23"/>
      <c r="F17" s="23"/>
      <c r="G17" s="23"/>
      <c r="H17">
        <v>110000</v>
      </c>
    </row>
    <row r="18" spans="2:8" x14ac:dyDescent="0.25">
      <c r="B18" s="24" t="str" cm="1">
        <f t="array" ref="B18:F18">_xlfn.CHOOSECOLS(staff1[#Headers],1,2,3,5,6)</f>
        <v>Emp ID</v>
      </c>
      <c r="C18" s="24" t="str">
        <v>First Name</v>
      </c>
      <c r="D18" s="24" t="str">
        <v>Last Name</v>
      </c>
      <c r="E18" s="24" t="str">
        <v>Department</v>
      </c>
      <c r="F18" s="24" t="str">
        <v>Salary</v>
      </c>
      <c r="G18" s="24"/>
    </row>
    <row r="19" spans="2:8" x14ac:dyDescent="0.25">
      <c r="B19" s="9" t="str" cm="1">
        <f t="array" ref="B19:F43">_xlfn.CHOOSECOLS(_xlfn._xlws.FILTER(staff1[],staff1[Salary]&gt;H17),1,2,3,5,6)</f>
        <v>PR00147</v>
      </c>
      <c r="C19" s="9" t="str">
        <v>Minerva</v>
      </c>
      <c r="D19" s="9" t="str">
        <v>Ricardot</v>
      </c>
      <c r="E19" s="9" t="str">
        <v>Engineering</v>
      </c>
      <c r="F19" s="9">
        <v>120000</v>
      </c>
      <c r="G19" s="11"/>
    </row>
    <row r="20" spans="2:8" x14ac:dyDescent="0.25">
      <c r="B20" s="9" t="str">
        <v>PR00746</v>
      </c>
      <c r="C20" s="9" t="str">
        <v>Hogan</v>
      </c>
      <c r="D20" s="9" t="str">
        <v>Iles</v>
      </c>
      <c r="E20" s="9" t="str">
        <v>Accounting</v>
      </c>
      <c r="F20" s="9">
        <v>114177.23</v>
      </c>
      <c r="G20" s="11"/>
    </row>
    <row r="21" spans="2:8" x14ac:dyDescent="0.25">
      <c r="B21" s="9" t="str">
        <v>PR01159</v>
      </c>
      <c r="C21" s="9" t="str">
        <v>Mollie</v>
      </c>
      <c r="D21" s="9" t="str">
        <v>Hanway</v>
      </c>
      <c r="E21" s="9" t="str">
        <v>Engineering</v>
      </c>
      <c r="F21" s="9">
        <v>112645.99</v>
      </c>
      <c r="G21" s="11"/>
    </row>
    <row r="22" spans="2:8" x14ac:dyDescent="0.25">
      <c r="B22" s="9" t="str">
        <v>PR02010</v>
      </c>
      <c r="C22" s="9" t="str">
        <v>Prerana</v>
      </c>
      <c r="D22" s="9" t="str">
        <v>Nishita</v>
      </c>
      <c r="E22" s="9" t="str">
        <v>Product Management</v>
      </c>
      <c r="F22" s="9">
        <v>115191.38</v>
      </c>
      <c r="G22" s="11"/>
    </row>
    <row r="23" spans="2:8" x14ac:dyDescent="0.25">
      <c r="B23" s="9" t="str">
        <v>PR03886</v>
      </c>
      <c r="C23" s="9" t="str">
        <v>Edd</v>
      </c>
      <c r="D23" s="9" t="str">
        <v>MacKnockiter</v>
      </c>
      <c r="E23" s="9" t="str">
        <v>Accounting</v>
      </c>
      <c r="F23" s="9">
        <v>119022.49</v>
      </c>
      <c r="G23" s="11"/>
    </row>
    <row r="24" spans="2:8" x14ac:dyDescent="0.25">
      <c r="B24" s="9" t="str">
        <v>SQ00022</v>
      </c>
      <c r="C24" s="9" t="str">
        <v>Carlin</v>
      </c>
      <c r="D24" s="9" t="str">
        <v>Demke</v>
      </c>
      <c r="E24" s="9" t="str">
        <v>Business Development</v>
      </c>
      <c r="F24" s="9">
        <v>110042.37</v>
      </c>
      <c r="G24" s="11"/>
    </row>
    <row r="25" spans="2:8" x14ac:dyDescent="0.25">
      <c r="B25" s="9" t="str">
        <v>SQ00144</v>
      </c>
      <c r="C25" s="9" t="str">
        <v>Collen</v>
      </c>
      <c r="D25" s="9" t="str">
        <v>Dunbleton</v>
      </c>
      <c r="E25" s="9" t="str">
        <v>Engineering</v>
      </c>
      <c r="F25" s="9">
        <v>118976.16</v>
      </c>
      <c r="G25" s="11"/>
    </row>
    <row r="26" spans="2:8" x14ac:dyDescent="0.25">
      <c r="B26" s="9" t="str">
        <v>SQ00498</v>
      </c>
      <c r="C26" s="9" t="str">
        <v>Amery</v>
      </c>
      <c r="D26" s="9" t="str">
        <v>Ofer</v>
      </c>
      <c r="E26" s="9" t="str">
        <v>Legal</v>
      </c>
      <c r="F26" s="9">
        <v>111049.84</v>
      </c>
      <c r="G26" s="11"/>
    </row>
    <row r="27" spans="2:8" x14ac:dyDescent="0.25">
      <c r="B27" s="9" t="str">
        <v>SQ01620</v>
      </c>
      <c r="C27" s="9" t="str">
        <v>Westbrook</v>
      </c>
      <c r="D27" s="9" t="str">
        <v>Brandino</v>
      </c>
      <c r="E27" s="9" t="str">
        <v>Legal</v>
      </c>
      <c r="F27" s="9">
        <v>113616.23</v>
      </c>
      <c r="G27" s="11"/>
    </row>
    <row r="28" spans="2:8" x14ac:dyDescent="0.25">
      <c r="B28" s="9" t="str">
        <v>SQ02174</v>
      </c>
      <c r="C28" s="9" t="str">
        <v>Sidoney</v>
      </c>
      <c r="D28" s="9" t="str">
        <v>Yitzhok</v>
      </c>
      <c r="E28" s="9" t="str">
        <v>Engineering</v>
      </c>
      <c r="F28" s="9">
        <v>118442.54</v>
      </c>
      <c r="G28" s="11"/>
    </row>
    <row r="29" spans="2:8" x14ac:dyDescent="0.25">
      <c r="B29" s="9" t="str">
        <v>SQ02624</v>
      </c>
      <c r="C29" s="9" t="str">
        <v>Gwenneth</v>
      </c>
      <c r="D29" s="9" t="str">
        <v>Fealey</v>
      </c>
      <c r="E29" s="9" t="str">
        <v>Engineering</v>
      </c>
      <c r="F29" s="9">
        <v>114772.32</v>
      </c>
      <c r="G29" s="11"/>
    </row>
    <row r="30" spans="2:8" x14ac:dyDescent="0.25">
      <c r="B30" s="9" t="str">
        <v>SQ04603</v>
      </c>
      <c r="C30" s="9" t="str">
        <v>Natalee</v>
      </c>
      <c r="D30" s="9" t="str">
        <v>Craiker</v>
      </c>
      <c r="E30" s="9" t="str">
        <v>Product Management</v>
      </c>
      <c r="F30" s="9">
        <v>111229.47</v>
      </c>
      <c r="G30" s="11"/>
    </row>
    <row r="31" spans="2:8" x14ac:dyDescent="0.25">
      <c r="B31" s="9" t="str">
        <v>SQ04612</v>
      </c>
      <c r="C31" s="9" t="str">
        <v>Mick</v>
      </c>
      <c r="D31" s="9" t="str">
        <v>Spraberry</v>
      </c>
      <c r="E31" s="9" t="str">
        <v>Services</v>
      </c>
      <c r="F31" s="9">
        <v>120000</v>
      </c>
      <c r="G31" s="11"/>
    </row>
    <row r="32" spans="2:8" x14ac:dyDescent="0.25">
      <c r="B32" s="9" t="str">
        <v>TN01281</v>
      </c>
      <c r="C32" s="9" t="str">
        <v>Cletus</v>
      </c>
      <c r="D32" s="9" t="str">
        <v>McGarahan</v>
      </c>
      <c r="E32" s="9" t="str">
        <v>Engineering</v>
      </c>
      <c r="F32" s="9">
        <v>114425.19</v>
      </c>
      <c r="G32" s="11"/>
    </row>
    <row r="33" spans="2:9" x14ac:dyDescent="0.25">
      <c r="B33" s="9" t="str">
        <v>VT01893</v>
      </c>
      <c r="C33" s="9" t="str">
        <v>Lindy</v>
      </c>
      <c r="D33" s="9" t="str">
        <v>Guillet</v>
      </c>
      <c r="E33" s="9" t="str">
        <v>Training</v>
      </c>
      <c r="F33" s="9">
        <v>112778.28</v>
      </c>
      <c r="G33" s="11"/>
    </row>
    <row r="34" spans="2:9" x14ac:dyDescent="0.25">
      <c r="B34" s="9" t="str">
        <v>VT01893</v>
      </c>
      <c r="C34" s="9" t="str">
        <v>Lindy</v>
      </c>
      <c r="D34" s="9" t="str">
        <v>Guillet</v>
      </c>
      <c r="E34" s="9" t="str">
        <v>Training</v>
      </c>
      <c r="F34" s="9">
        <v>112778.28</v>
      </c>
      <c r="G34" s="11"/>
    </row>
    <row r="35" spans="2:9" x14ac:dyDescent="0.25">
      <c r="B35" s="9" t="str">
        <v>VT02491</v>
      </c>
      <c r="C35" s="9" t="str">
        <v>Alexis</v>
      </c>
      <c r="D35" s="9" t="str">
        <v>Gotfrey</v>
      </c>
      <c r="E35" s="9" t="str">
        <v>Engineering</v>
      </c>
      <c r="F35" s="9">
        <v>114465.93</v>
      </c>
      <c r="G35" s="11"/>
    </row>
    <row r="36" spans="2:9" x14ac:dyDescent="0.25">
      <c r="B36" s="9" t="str">
        <v>VT02801</v>
      </c>
      <c r="C36" s="9" t="str">
        <v>Shellysheldon</v>
      </c>
      <c r="D36" s="9" t="str">
        <v>Mahady</v>
      </c>
      <c r="E36" s="9" t="str">
        <v>Training</v>
      </c>
      <c r="F36" s="9">
        <v>114691.03</v>
      </c>
      <c r="G36" s="11"/>
    </row>
    <row r="37" spans="2:9" x14ac:dyDescent="0.25">
      <c r="B37" s="9" t="str">
        <v>VT03421</v>
      </c>
      <c r="C37" s="9" t="str">
        <v>Alic</v>
      </c>
      <c r="D37" s="9" t="str">
        <v>Bagg</v>
      </c>
      <c r="E37" s="9" t="str">
        <v>Legal</v>
      </c>
      <c r="F37" s="9">
        <v>113747.56</v>
      </c>
      <c r="G37" s="11"/>
    </row>
    <row r="38" spans="2:9" x14ac:dyDescent="0.25">
      <c r="B38" s="9" t="str">
        <v>VT03421</v>
      </c>
      <c r="C38" s="9" t="str">
        <v>Alic</v>
      </c>
      <c r="D38" s="9" t="str">
        <v>Bagg</v>
      </c>
      <c r="E38" s="9" t="str">
        <v>Legal</v>
      </c>
      <c r="F38" s="9">
        <v>113747.56</v>
      </c>
      <c r="G38" s="11"/>
    </row>
    <row r="39" spans="2:9" x14ac:dyDescent="0.25">
      <c r="B39" s="9" t="str">
        <v>VT04028</v>
      </c>
      <c r="C39" s="9" t="str">
        <v>Michale</v>
      </c>
      <c r="D39" s="9" t="str">
        <v>Rolf</v>
      </c>
      <c r="E39" s="9" t="str">
        <v>Services</v>
      </c>
      <c r="F39" s="9">
        <v>111815.49</v>
      </c>
      <c r="G39" s="11"/>
    </row>
    <row r="40" spans="2:9" x14ac:dyDescent="0.25">
      <c r="B40" s="9" t="str">
        <v>VT04028</v>
      </c>
      <c r="C40" s="9" t="str">
        <v>Michale</v>
      </c>
      <c r="D40" s="9" t="str">
        <v>Rolf</v>
      </c>
      <c r="E40" s="9" t="str">
        <v>Services</v>
      </c>
      <c r="F40" s="9">
        <v>111815.49</v>
      </c>
      <c r="G40" s="11"/>
    </row>
    <row r="41" spans="2:9" x14ac:dyDescent="0.25">
      <c r="B41" s="9" t="str">
        <v>VT04093</v>
      </c>
      <c r="C41" s="9" t="str">
        <v>Prasanna</v>
      </c>
      <c r="D41" s="9" t="str">
        <v>Lakshmi</v>
      </c>
      <c r="E41" s="9" t="str">
        <v>Training</v>
      </c>
      <c r="F41" s="9">
        <v>116767.63</v>
      </c>
      <c r="G41" s="11"/>
    </row>
    <row r="42" spans="2:9" x14ac:dyDescent="0.25">
      <c r="B42" s="9" t="str">
        <v>VT04093</v>
      </c>
      <c r="C42" s="9" t="str">
        <v>Baruna</v>
      </c>
      <c r="D42" s="9" t="str">
        <v>Ogale</v>
      </c>
      <c r="E42" s="9" t="str">
        <v>Training</v>
      </c>
      <c r="F42" s="9">
        <v>116767.63</v>
      </c>
      <c r="G42" s="11"/>
    </row>
    <row r="43" spans="2:9" x14ac:dyDescent="0.25">
      <c r="B43" s="9" t="str">
        <v>VT04681</v>
      </c>
      <c r="C43" s="9" t="str">
        <v>Nickolai</v>
      </c>
      <c r="D43" s="9" t="str">
        <v>Artin</v>
      </c>
      <c r="E43" s="9" t="str">
        <v>Product Management</v>
      </c>
      <c r="F43" s="9">
        <v>110906.35</v>
      </c>
      <c r="G43" s="11"/>
    </row>
    <row r="45" spans="2:9" x14ac:dyDescent="0.25">
      <c r="B45" s="23" t="s">
        <v>755</v>
      </c>
      <c r="C45" s="23"/>
      <c r="D45" s="23"/>
      <c r="E45" s="23"/>
      <c r="F45" s="23"/>
      <c r="G45" s="23"/>
    </row>
    <row r="46" spans="2:9" x14ac:dyDescent="0.25">
      <c r="I46">
        <v>1</v>
      </c>
    </row>
    <row r="47" spans="2:9" x14ac:dyDescent="0.25">
      <c r="C47" s="24" t="s">
        <v>759</v>
      </c>
      <c r="D47" s="24" t="s">
        <v>35</v>
      </c>
      <c r="E47" s="24" t="s">
        <v>16</v>
      </c>
      <c r="F47" s="35"/>
      <c r="I47">
        <v>2</v>
      </c>
    </row>
    <row r="48" spans="2:9" x14ac:dyDescent="0.25">
      <c r="B48" s="8" t="s">
        <v>756</v>
      </c>
      <c r="C48" s="11">
        <f>MAX(staff1[Salary])</f>
        <v>120000</v>
      </c>
      <c r="D48" s="11">
        <f>_xlfn.MAXIFS(staff1[Salary],staff1[Gender],D$47)</f>
        <v>120000</v>
      </c>
      <c r="E48" s="11">
        <f>_xlfn.MAXIFS(staff1[Salary],staff1[Gender],E$47)</f>
        <v>120000</v>
      </c>
      <c r="F48" s="34"/>
      <c r="I48">
        <v>3</v>
      </c>
    </row>
    <row r="49" spans="2:9" x14ac:dyDescent="0.25">
      <c r="B49" s="8" t="s">
        <v>757</v>
      </c>
      <c r="C49" s="11">
        <f>MIN(staff1[Salary])</f>
        <v>28160.79</v>
      </c>
      <c r="D49" s="11">
        <f>_xlfn.MINIFS(staff1[Salary],staff1[Gender],D$47)</f>
        <v>28160.79</v>
      </c>
      <c r="E49">
        <f>_xlfn.MINIFS(staff1[Salary],staff1[Gender],E$47)</f>
        <v>28305.08</v>
      </c>
      <c r="I49">
        <v>4</v>
      </c>
    </row>
    <row r="50" spans="2:9" x14ac:dyDescent="0.25">
      <c r="B50" s="8" t="s">
        <v>758</v>
      </c>
      <c r="C50" s="11">
        <f>LARGE(staff1[Salary],I46)</f>
        <v>120000</v>
      </c>
      <c r="D50" s="11" cm="1">
        <f t="array" ref="D50">LARGE(_xlfn._xlws.FILTER(staff1[Salary],staff1[Gender]="Male"),I46)</f>
        <v>120000</v>
      </c>
      <c r="E50" s="11" cm="1">
        <f t="array" ref="E50">LARGE(_xlfn._xlws.FILTER(staff1[Salary],staff1[Gender]=E$47),I46)</f>
        <v>120000</v>
      </c>
      <c r="F50" s="34"/>
      <c r="I50">
        <v>5</v>
      </c>
    </row>
    <row r="51" spans="2:9" x14ac:dyDescent="0.25">
      <c r="C51" s="11">
        <f>LARGE(staff1[Salary],I47)</f>
        <v>120000</v>
      </c>
      <c r="D51" s="11" cm="1">
        <f t="array" ref="D51">LARGE(_xlfn._xlws.FILTER(staff1[Salary],staff1[Gender]="Male"),I47)</f>
        <v>119022.49</v>
      </c>
      <c r="E51" s="11" cm="1">
        <f t="array" ref="E51">LARGE(_xlfn._xlws.FILTER(staff1[Salary],staff1[Gender]=E$47),I47)</f>
        <v>118442.54</v>
      </c>
      <c r="F51" s="34"/>
    </row>
    <row r="52" spans="2:9" x14ac:dyDescent="0.25">
      <c r="C52" s="11">
        <f>LARGE(staff1[Salary],I48)</f>
        <v>119022.49</v>
      </c>
      <c r="D52" s="11" cm="1">
        <f t="array" ref="D52">LARGE(_xlfn._xlws.FILTER(staff1[Salary],staff1[Gender]="Male"),I48)</f>
        <v>118976.16</v>
      </c>
      <c r="E52" s="11" cm="1">
        <f t="array" ref="E52">LARGE(_xlfn._xlws.FILTER(staff1[Salary],staff1[Gender]=E$47),I48)</f>
        <v>116767.63</v>
      </c>
      <c r="F52" s="34"/>
    </row>
    <row r="53" spans="2:9" x14ac:dyDescent="0.25">
      <c r="C53" s="11">
        <f>LARGE(staff1[Salary],I49)</f>
        <v>118976.16</v>
      </c>
      <c r="D53" s="11" cm="1">
        <f t="array" ref="D53">LARGE(_xlfn._xlws.FILTER(staff1[Salary],staff1[Gender]="Male"),I49)</f>
        <v>115191.38</v>
      </c>
      <c r="E53" s="11" cm="1">
        <f t="array" ref="E53">LARGE(_xlfn._xlws.FILTER(staff1[Salary],staff1[Gender]=E$47),I49)</f>
        <v>116767.63</v>
      </c>
      <c r="F53" s="34"/>
    </row>
    <row r="54" spans="2:9" x14ac:dyDescent="0.25">
      <c r="C54" s="11">
        <f>LARGE(staff1[Salary],I50)</f>
        <v>118442.54</v>
      </c>
      <c r="D54" s="11" cm="1">
        <f t="array" ref="D54">LARGE(_xlfn._xlws.FILTER(staff1[Salary],staff1[Gender]="Male"),I50)</f>
        <v>114691.03</v>
      </c>
      <c r="E54" s="11" cm="1">
        <f t="array" ref="E54">LARGE(_xlfn._xlws.FILTER(staff1[Salary],staff1[Gender]=E$47),I50)</f>
        <v>114772.32</v>
      </c>
      <c r="F54" s="34"/>
    </row>
    <row r="56" spans="2:9" x14ac:dyDescent="0.25">
      <c r="C56" s="27"/>
    </row>
    <row r="57" spans="2:9" x14ac:dyDescent="0.25">
      <c r="B57" s="26" t="s">
        <v>758</v>
      </c>
      <c r="C57" s="9" cm="1">
        <f t="array" ref="C57:C61">_xlfn.TAKE(_xlfn._xlws.SORT(staff1[Salary],,-1),E57)</f>
        <v>120000</v>
      </c>
      <c r="E57">
        <v>5</v>
      </c>
    </row>
    <row r="58" spans="2:9" x14ac:dyDescent="0.25">
      <c r="C58" s="9">
        <v>120000</v>
      </c>
    </row>
    <row r="59" spans="2:9" x14ac:dyDescent="0.25">
      <c r="C59" s="25">
        <v>119022.49</v>
      </c>
    </row>
    <row r="60" spans="2:9" x14ac:dyDescent="0.25">
      <c r="C60" s="25">
        <v>118976.16</v>
      </c>
    </row>
    <row r="61" spans="2:9" x14ac:dyDescent="0.25">
      <c r="C61" s="25">
        <v>118442.54</v>
      </c>
    </row>
    <row r="63" spans="2:9" x14ac:dyDescent="0.25">
      <c r="B63" s="23" t="s">
        <v>761</v>
      </c>
      <c r="C63" s="23"/>
      <c r="D63" s="23"/>
      <c r="E63" s="23"/>
      <c r="F63" s="22"/>
    </row>
    <row r="65" spans="2:7" x14ac:dyDescent="0.25">
      <c r="B65" s="19" t="s">
        <v>762</v>
      </c>
      <c r="C65" s="19" t="s">
        <v>763</v>
      </c>
      <c r="D65">
        <f>COUNT(_xlfn.ANCHORARRAY(B66))</f>
        <v>0</v>
      </c>
    </row>
    <row r="66" spans="2:7" x14ac:dyDescent="0.25">
      <c r="B66" t="str" cm="1">
        <f t="array" ref="B66:B77">_xlfn.UNIQUE(staff1[Department])</f>
        <v>Training</v>
      </c>
    </row>
    <row r="67" spans="2:7" x14ac:dyDescent="0.25">
      <c r="B67" t="str">
        <v>Business Development</v>
      </c>
    </row>
    <row r="68" spans="2:7" x14ac:dyDescent="0.25">
      <c r="B68" t="str">
        <v>Engineering</v>
      </c>
    </row>
    <row r="69" spans="2:7" x14ac:dyDescent="0.25">
      <c r="B69" t="str">
        <v>Marketing</v>
      </c>
    </row>
    <row r="70" spans="2:7" x14ac:dyDescent="0.25">
      <c r="B70" t="str">
        <v>Legal</v>
      </c>
    </row>
    <row r="71" spans="2:7" x14ac:dyDescent="0.25">
      <c r="B71" t="str">
        <v>Accounting</v>
      </c>
    </row>
    <row r="72" spans="2:7" x14ac:dyDescent="0.25">
      <c r="B72" t="str">
        <v>Human Resources</v>
      </c>
    </row>
    <row r="73" spans="2:7" x14ac:dyDescent="0.25">
      <c r="B73" t="str">
        <v>Research and Development</v>
      </c>
    </row>
    <row r="74" spans="2:7" x14ac:dyDescent="0.25">
      <c r="B74" t="str">
        <v>Services</v>
      </c>
    </row>
    <row r="75" spans="2:7" x14ac:dyDescent="0.25">
      <c r="B75" t="str">
        <v>Product Management</v>
      </c>
    </row>
    <row r="76" spans="2:7" x14ac:dyDescent="0.25">
      <c r="B76" t="str">
        <v>Support</v>
      </c>
    </row>
    <row r="77" spans="2:7" x14ac:dyDescent="0.25">
      <c r="B77" t="str">
        <v>Sales</v>
      </c>
    </row>
    <row r="78" spans="2:7" x14ac:dyDescent="0.25">
      <c r="B78" s="23" t="s">
        <v>764</v>
      </c>
      <c r="C78" s="23"/>
      <c r="D78" s="23"/>
      <c r="E78" s="23"/>
      <c r="F78" s="23"/>
      <c r="G78" s="23"/>
    </row>
    <row r="79" spans="2:7" x14ac:dyDescent="0.25">
      <c r="B79" s="28" t="s">
        <v>766</v>
      </c>
      <c r="C79" s="28"/>
      <c r="E79" s="28" t="s">
        <v>768</v>
      </c>
      <c r="F79" s="28"/>
      <c r="G79" s="28"/>
    </row>
    <row r="80" spans="2:7" x14ac:dyDescent="0.25">
      <c r="B80" t="s">
        <v>765</v>
      </c>
      <c r="C80" s="18" t="s">
        <v>43</v>
      </c>
    </row>
    <row r="82" spans="1:16" x14ac:dyDescent="0.25">
      <c r="A82">
        <v>2</v>
      </c>
      <c r="B82" t="s">
        <v>1</v>
      </c>
      <c r="C82" t="str">
        <f>VLOOKUP(C$80,staff1[],A82,)</f>
        <v>Billi</v>
      </c>
      <c r="E82" t="str" cm="1">
        <f t="array" ref="E82">_xlfn.XLOOKUP(C80,staff1[Emp ID],staff1[First Name],Not Found,0)</f>
        <v>Billi</v>
      </c>
    </row>
    <row r="83" spans="1:16" x14ac:dyDescent="0.25">
      <c r="A83">
        <v>6</v>
      </c>
      <c r="B83" t="s">
        <v>5</v>
      </c>
      <c r="C83">
        <f>VLOOKUP(C$80,staff1[],A83)</f>
        <v>68980.52</v>
      </c>
      <c r="E83">
        <f>_xlfn.XLOOKUP(C80,staff1[Emp ID],staff1[Salary],"Not Found",0)</f>
        <v>68980.52</v>
      </c>
    </row>
    <row r="84" spans="1:16" x14ac:dyDescent="0.25">
      <c r="A84">
        <v>4</v>
      </c>
      <c r="B84" t="s">
        <v>3</v>
      </c>
      <c r="C84" t="str">
        <f>VLOOKUP(C$80,staff1[],A84)</f>
        <v>Female</v>
      </c>
      <c r="E84" t="str">
        <f>_xlfn.XLOOKUP(C80,staff1[Emp ID],staff1[Gender],"Not found",0)</f>
        <v>Female</v>
      </c>
    </row>
    <row r="85" spans="1:16" x14ac:dyDescent="0.25">
      <c r="B85" s="28" t="s">
        <v>767</v>
      </c>
      <c r="C85" s="28"/>
    </row>
    <row r="86" spans="1:16" x14ac:dyDescent="0.25">
      <c r="B86" t="s">
        <v>2</v>
      </c>
      <c r="C86" s="18" t="s">
        <v>41</v>
      </c>
    </row>
    <row r="88" spans="1:16" x14ac:dyDescent="0.25">
      <c r="B88" t="s">
        <v>1</v>
      </c>
      <c r="C88" t="str">
        <f>INDEX(staff1[First Name],MATCH(C86,staff1[Last Name],0))</f>
        <v>Husein</v>
      </c>
      <c r="E88" t="str">
        <f>_xlfn.XLOOKUP(C86,staff1[Last Name],staff1[First Name],"Not Found",0)</f>
        <v>Husein</v>
      </c>
    </row>
    <row r="89" spans="1:16" x14ac:dyDescent="0.25">
      <c r="B89" t="s">
        <v>5</v>
      </c>
      <c r="C89">
        <f>INDEX(staff1[Salary],MATCH(C86,staff1[Last Name],0))</f>
        <v>67905.8</v>
      </c>
      <c r="E89">
        <f>_xlfn.XLOOKUP(C86,staff1[Last Name],staff1[Salary],"Not Found",0)</f>
        <v>67905.8</v>
      </c>
    </row>
    <row r="90" spans="1:16" x14ac:dyDescent="0.25">
      <c r="B90" t="s">
        <v>3</v>
      </c>
      <c r="C90" t="str">
        <f>INDEX(staff1[Gender],MATCH(C86,staff1[Last Name],0))</f>
        <v>Female</v>
      </c>
      <c r="E90" t="str">
        <f>_xlfn.XLOOKUP(C88,staff1[Last Name],staff1[First Name],"Not Found",0)</f>
        <v>Not Found</v>
      </c>
    </row>
    <row r="92" spans="1:16" x14ac:dyDescent="0.25">
      <c r="B92" s="29" t="s">
        <v>769</v>
      </c>
      <c r="C92" s="29"/>
    </row>
    <row r="94" spans="1:16" x14ac:dyDescent="0.25">
      <c r="B94">
        <v>120000</v>
      </c>
    </row>
    <row r="95" spans="1:16" x14ac:dyDescent="0.25">
      <c r="B95" t="str" cm="1">
        <f t="array" ref="B95:P96">_xlfn._xlws.FILTER(staff1[],staff1[Salary]=B94)</f>
        <v>PR00147</v>
      </c>
      <c r="C95" t="str">
        <v>Minerva</v>
      </c>
      <c r="D95" t="str">
        <v>Ricardot</v>
      </c>
      <c r="E95" t="str">
        <v>Male</v>
      </c>
      <c r="F95" t="str">
        <v>Engineering</v>
      </c>
      <c r="G95">
        <v>120000</v>
      </c>
      <c r="H95" t="str">
        <v>Above 100k</v>
      </c>
      <c r="I95">
        <v>43416</v>
      </c>
      <c r="J95">
        <v>1</v>
      </c>
      <c r="K95" t="str">
        <v>Permanent</v>
      </c>
      <c r="L95" t="str">
        <v>Remote</v>
      </c>
      <c r="M95">
        <v>5.6109589041095891</v>
      </c>
      <c r="N95" t="str">
        <v>Full time</v>
      </c>
      <c r="O95">
        <v>6000</v>
      </c>
      <c r="P95">
        <v>12000</v>
      </c>
    </row>
    <row r="96" spans="1:16" x14ac:dyDescent="0.25">
      <c r="B96" t="str">
        <v>SQ04612</v>
      </c>
      <c r="C96" t="str">
        <v>Mick</v>
      </c>
      <c r="D96" t="str">
        <v>Spraberry</v>
      </c>
      <c r="E96" t="str">
        <v>Female</v>
      </c>
      <c r="F96" t="str">
        <v>Services</v>
      </c>
      <c r="G96">
        <v>120000</v>
      </c>
      <c r="H96" t="str">
        <v>Above 100k</v>
      </c>
      <c r="I96">
        <v>43902</v>
      </c>
      <c r="J96">
        <v>0.9</v>
      </c>
      <c r="K96" t="str">
        <v>Permanent</v>
      </c>
      <c r="L96" t="str">
        <v>Remote</v>
      </c>
      <c r="M96">
        <v>4.279452054794521</v>
      </c>
      <c r="N96" t="str">
        <v>Part time</v>
      </c>
      <c r="O96">
        <v>6000</v>
      </c>
      <c r="P96">
        <v>6000</v>
      </c>
    </row>
    <row r="98" spans="2:6" x14ac:dyDescent="0.25">
      <c r="B98" s="30" t="s">
        <v>770</v>
      </c>
      <c r="C98" s="30"/>
      <c r="D98" s="30"/>
      <c r="E98" s="30"/>
      <c r="F98" s="36"/>
    </row>
    <row r="100" spans="2:6" x14ac:dyDescent="0.25">
      <c r="B100" t="s">
        <v>771</v>
      </c>
      <c r="C100" t="str" cm="1">
        <f t="array" ref="C100">_xlfn.XLOOKUP(MAX(staff1[Salary]),staff1[Salary],staff1[First Name]&amp;" "&amp;staff1[Last Name])</f>
        <v>Minerva Ricardot</v>
      </c>
    </row>
    <row r="102" spans="2:6" x14ac:dyDescent="0.25">
      <c r="B102" t="s">
        <v>772</v>
      </c>
      <c r="C102" t="str" cm="1">
        <f t="array" ref="C102">_xlfn.TEXTJOIN(",",,_xlfn._xlws.FILTER(staff1[First Name],staff1[Salary]=MAX(staff1[Salary])))</f>
        <v>Minerva,Mick</v>
      </c>
    </row>
    <row r="105" spans="2:6" x14ac:dyDescent="0.25">
      <c r="B105" s="30" t="s">
        <v>773</v>
      </c>
      <c r="C105" s="30"/>
      <c r="D105" s="30"/>
      <c r="E105" s="30"/>
      <c r="F105" s="36"/>
    </row>
    <row r="107" spans="2:6" x14ac:dyDescent="0.25">
      <c r="B107" t="str" cm="1">
        <f t="array" ref="B107:D128">_xlfn._xlws.FILTER(staff1[[Emp ID]:[Last Name]],MONTH(staff1[Start Date])=3)</f>
        <v>PR00746</v>
      </c>
      <c r="C107" t="str">
        <v>Hogan</v>
      </c>
      <c r="D107" t="str">
        <v>Iles</v>
      </c>
    </row>
    <row r="108" spans="2:6" x14ac:dyDescent="0.25">
      <c r="B108" t="str">
        <v>PR00893</v>
      </c>
      <c r="C108" t="str">
        <v>Vasavi</v>
      </c>
      <c r="D108" t="str">
        <v>Veeravasarapu</v>
      </c>
    </row>
    <row r="109" spans="2:6" x14ac:dyDescent="0.25">
      <c r="B109" t="str">
        <v>SQ00022</v>
      </c>
      <c r="C109" t="str">
        <v>Carlin</v>
      </c>
      <c r="D109" t="str">
        <v>Demke</v>
      </c>
    </row>
    <row r="110" spans="2:6" x14ac:dyDescent="0.25">
      <c r="B110" t="str">
        <v>SQ00105</v>
      </c>
      <c r="C110" t="str">
        <v>Sarayu</v>
      </c>
      <c r="D110" t="str">
        <v>Ragunathan</v>
      </c>
    </row>
    <row r="111" spans="2:6" x14ac:dyDescent="0.25">
      <c r="B111" t="str">
        <v>SQ01519</v>
      </c>
      <c r="C111" t="str">
        <v>Caron</v>
      </c>
      <c r="D111" t="str">
        <v>Kolakovic</v>
      </c>
    </row>
    <row r="112" spans="2:6" x14ac:dyDescent="0.25">
      <c r="B112" t="str">
        <v>SQ03112</v>
      </c>
      <c r="C112" t="str">
        <v>Kantimoy</v>
      </c>
      <c r="D112" t="str">
        <v>Pritish</v>
      </c>
    </row>
    <row r="113" spans="2:4" x14ac:dyDescent="0.25">
      <c r="B113" t="str">
        <v>SQ03625</v>
      </c>
      <c r="C113" t="str">
        <v>Fidela</v>
      </c>
      <c r="D113" t="str">
        <v>Artis</v>
      </c>
    </row>
    <row r="114" spans="2:4" x14ac:dyDescent="0.25">
      <c r="B114" t="str">
        <v>SQ04612</v>
      </c>
      <c r="C114" t="str">
        <v>Mick</v>
      </c>
      <c r="D114" t="str">
        <v>Spraberry</v>
      </c>
    </row>
    <row r="115" spans="2:4" x14ac:dyDescent="0.25">
      <c r="B115" t="str">
        <v>TN01256</v>
      </c>
      <c r="C115" t="str">
        <v>Shattesh</v>
      </c>
      <c r="D115" t="str">
        <v>Utpat</v>
      </c>
    </row>
    <row r="116" spans="2:4" x14ac:dyDescent="0.25">
      <c r="B116" t="str">
        <v>TN01256</v>
      </c>
      <c r="C116" t="str">
        <v>Sawini</v>
      </c>
      <c r="D116" t="str">
        <v>Chandan</v>
      </c>
    </row>
    <row r="117" spans="2:4" x14ac:dyDescent="0.25">
      <c r="B117" t="str">
        <v>TN01601</v>
      </c>
      <c r="C117" t="str">
        <v>Melva</v>
      </c>
      <c r="D117" t="str">
        <v>Jickells</v>
      </c>
    </row>
    <row r="118" spans="2:4" x14ac:dyDescent="0.25">
      <c r="B118" t="str">
        <v>TN01601</v>
      </c>
      <c r="C118" t="str">
        <v>Melva</v>
      </c>
      <c r="D118" t="str">
        <v>Jickells</v>
      </c>
    </row>
    <row r="119" spans="2:4" x14ac:dyDescent="0.25">
      <c r="B119" t="str">
        <v>TN04892</v>
      </c>
      <c r="C119" t="str">
        <v>Luca</v>
      </c>
      <c r="D119" t="str">
        <v>Wolstenholme</v>
      </c>
    </row>
    <row r="120" spans="2:4" x14ac:dyDescent="0.25">
      <c r="B120" t="str">
        <v>VT01762</v>
      </c>
      <c r="C120" t="str">
        <v>Geena</v>
      </c>
      <c r="D120" t="str">
        <v>Raghavanpillai</v>
      </c>
    </row>
    <row r="121" spans="2:4" x14ac:dyDescent="0.25">
      <c r="B121" t="str">
        <v>VT01803</v>
      </c>
      <c r="C121" t="str">
        <v>Freddy</v>
      </c>
      <c r="D121" t="str">
        <v>Linford</v>
      </c>
    </row>
    <row r="122" spans="2:4" x14ac:dyDescent="0.25">
      <c r="B122" t="str">
        <v>VT02417</v>
      </c>
      <c r="C122" t="str">
        <v>Evangelina</v>
      </c>
      <c r="D122" t="str">
        <v>Lergan</v>
      </c>
    </row>
    <row r="123" spans="2:4" x14ac:dyDescent="0.25">
      <c r="B123" t="str">
        <v>VT03421</v>
      </c>
      <c r="C123" t="str">
        <v>Alic</v>
      </c>
      <c r="D123" t="str">
        <v>Bagg</v>
      </c>
    </row>
    <row r="124" spans="2:4" x14ac:dyDescent="0.25">
      <c r="B124" t="str">
        <v>VT03421</v>
      </c>
      <c r="C124" t="str">
        <v>Alic</v>
      </c>
      <c r="D124" t="str">
        <v>Bagg</v>
      </c>
    </row>
    <row r="125" spans="2:4" x14ac:dyDescent="0.25">
      <c r="B125" t="str">
        <v>VT03993</v>
      </c>
      <c r="C125" t="str">
        <v>Dulce</v>
      </c>
      <c r="D125" t="str">
        <v>Colbeck</v>
      </c>
    </row>
    <row r="126" spans="2:4" x14ac:dyDescent="0.25">
      <c r="B126" t="str">
        <v>VT04028</v>
      </c>
      <c r="C126" t="str">
        <v>Michale</v>
      </c>
      <c r="D126" t="str">
        <v>Rolf</v>
      </c>
    </row>
    <row r="127" spans="2:4" x14ac:dyDescent="0.25">
      <c r="B127" t="str">
        <v>VT04028</v>
      </c>
      <c r="C127" t="str">
        <v>Michale</v>
      </c>
      <c r="D127" t="str">
        <v>Rolf</v>
      </c>
    </row>
    <row r="128" spans="2:4" x14ac:dyDescent="0.25">
      <c r="B128" t="str">
        <v>VT04415</v>
      </c>
      <c r="C128" t="str">
        <v>Malory</v>
      </c>
      <c r="D128" t="str">
        <v>Biles</v>
      </c>
    </row>
    <row r="130" spans="2:10" x14ac:dyDescent="0.25">
      <c r="B130" s="30" t="s">
        <v>775</v>
      </c>
      <c r="C130" s="30"/>
      <c r="D130" s="30"/>
      <c r="E130" s="30"/>
      <c r="F130" s="36"/>
    </row>
    <row r="131" spans="2:10" x14ac:dyDescent="0.25">
      <c r="J131">
        <f>WEEKDAY(J143)</f>
        <v>7</v>
      </c>
    </row>
    <row r="132" spans="2:10" x14ac:dyDescent="0.25">
      <c r="B132" s="18" t="s">
        <v>774</v>
      </c>
      <c r="C132" s="18" t="s">
        <v>1</v>
      </c>
      <c r="D132" s="18" t="s">
        <v>2</v>
      </c>
    </row>
    <row r="133" spans="2:10" x14ac:dyDescent="0.25">
      <c r="B133" t="str" cm="1">
        <f t="array" ref="B133:I194">_xlfn._xlws.FILTER(staff1[[Emp ID]:[Start Date]],(staff1[Gender]="Female")*(WEEKDAY(staff1[Start Date],2)=1))</f>
        <v>PR00007</v>
      </c>
      <c r="C133" t="str">
        <v>Torrance</v>
      </c>
      <c r="D133" t="str">
        <v>Collier</v>
      </c>
      <c r="E133" t="str">
        <v>Female</v>
      </c>
      <c r="F133" t="str">
        <v>Training</v>
      </c>
      <c r="G133">
        <v>96135.75</v>
      </c>
      <c r="H133" t="str">
        <v>50k to 100k</v>
      </c>
      <c r="I133">
        <v>44025</v>
      </c>
      <c r="J133" s="1"/>
    </row>
    <row r="134" spans="2:10" x14ac:dyDescent="0.25">
      <c r="B134" t="str">
        <v>PR00095</v>
      </c>
      <c r="C134" t="str">
        <v>Devrat</v>
      </c>
      <c r="D134" t="str">
        <v>Damarsingh</v>
      </c>
      <c r="E134" t="str">
        <v>Female</v>
      </c>
      <c r="F134" t="str">
        <v>Business Development</v>
      </c>
      <c r="G134">
        <v>70649.460000000006</v>
      </c>
      <c r="H134" t="str">
        <v>50k to 100k</v>
      </c>
      <c r="I134">
        <v>43843</v>
      </c>
      <c r="J134" s="1"/>
    </row>
    <row r="135" spans="2:10" x14ac:dyDescent="0.25">
      <c r="B135" t="str">
        <v>PR00113</v>
      </c>
      <c r="C135" t="str">
        <v>Van</v>
      </c>
      <c r="D135" t="str">
        <v>Tuxwell</v>
      </c>
      <c r="E135" t="str">
        <v>Female</v>
      </c>
      <c r="F135" t="str">
        <v>Business Development</v>
      </c>
      <c r="G135">
        <v>80695.740000000005</v>
      </c>
      <c r="H135" t="str">
        <v>50k to 100k</v>
      </c>
      <c r="I135">
        <v>43360</v>
      </c>
      <c r="J135" s="1"/>
    </row>
    <row r="136" spans="2:10" x14ac:dyDescent="0.25">
      <c r="B136" t="str">
        <v>PR00113</v>
      </c>
      <c r="C136" t="str">
        <v>Van</v>
      </c>
      <c r="D136" t="str">
        <v>Tuxwell</v>
      </c>
      <c r="E136" t="str">
        <v>Female</v>
      </c>
      <c r="F136" t="str">
        <v>Business Development</v>
      </c>
      <c r="G136">
        <v>80695.740000000005</v>
      </c>
      <c r="H136" t="str">
        <v>50k to 100k</v>
      </c>
      <c r="I136">
        <v>43360</v>
      </c>
      <c r="J136" s="1"/>
    </row>
    <row r="137" spans="2:10" x14ac:dyDescent="0.25">
      <c r="B137" t="str">
        <v>PR00576</v>
      </c>
      <c r="C137" t="str">
        <v>Lalitchandra</v>
      </c>
      <c r="D137" t="str">
        <v>Vadali</v>
      </c>
      <c r="E137" t="str">
        <v>Female</v>
      </c>
      <c r="F137" t="str">
        <v>Legal</v>
      </c>
      <c r="G137">
        <v>63705.4</v>
      </c>
      <c r="H137" t="str">
        <v>50k to 100k</v>
      </c>
      <c r="I137">
        <v>43682</v>
      </c>
      <c r="J137" s="1"/>
    </row>
    <row r="138" spans="2:10" x14ac:dyDescent="0.25">
      <c r="B138" t="str">
        <v>PR00916</v>
      </c>
      <c r="C138" t="str">
        <v>Inger</v>
      </c>
      <c r="D138" t="str">
        <v>Chapelhow</v>
      </c>
      <c r="E138" t="str">
        <v>Female</v>
      </c>
      <c r="F138" t="str">
        <v>Research and Development</v>
      </c>
      <c r="G138">
        <v>84309.95</v>
      </c>
      <c r="H138" t="str">
        <v>50k to 100k</v>
      </c>
      <c r="I138">
        <v>44501</v>
      </c>
      <c r="J138" s="1"/>
    </row>
    <row r="139" spans="2:10" x14ac:dyDescent="0.25">
      <c r="B139" t="str">
        <v>PR01383</v>
      </c>
      <c r="C139" t="str">
        <v>Addi</v>
      </c>
      <c r="D139" t="str">
        <v>Studdeard</v>
      </c>
      <c r="E139" t="str">
        <v>Female</v>
      </c>
      <c r="F139" t="str">
        <v>Product Management</v>
      </c>
      <c r="G139">
        <v>72502.61</v>
      </c>
      <c r="H139" t="str">
        <v>50k to 100k</v>
      </c>
      <c r="I139">
        <v>44235</v>
      </c>
      <c r="J139" s="1"/>
    </row>
    <row r="140" spans="2:10" x14ac:dyDescent="0.25">
      <c r="B140" t="str">
        <v>PR02016</v>
      </c>
      <c r="C140" t="str">
        <v>Iris</v>
      </c>
      <c r="D140" t="str">
        <v>Wagg</v>
      </c>
      <c r="E140" t="str">
        <v>Female</v>
      </c>
      <c r="F140" t="str">
        <v>Engineering</v>
      </c>
      <c r="G140">
        <v>58861.19</v>
      </c>
      <c r="H140" t="str">
        <v>50k to 100k</v>
      </c>
      <c r="I140">
        <v>43654</v>
      </c>
      <c r="J140" s="1"/>
    </row>
    <row r="141" spans="2:10" x14ac:dyDescent="0.25">
      <c r="B141" t="str">
        <v>PR02113</v>
      </c>
      <c r="C141" t="str">
        <v>Beverie</v>
      </c>
      <c r="D141" t="str">
        <v>Moffet</v>
      </c>
      <c r="E141" t="str">
        <v>Female</v>
      </c>
      <c r="F141" t="str">
        <v>Support</v>
      </c>
      <c r="G141">
        <v>75974.990000000005</v>
      </c>
      <c r="H141" t="str">
        <v>50k to 100k</v>
      </c>
      <c r="I141">
        <v>44172</v>
      </c>
      <c r="J141" s="1"/>
    </row>
    <row r="142" spans="2:10" x14ac:dyDescent="0.25">
      <c r="B142" t="str">
        <v>PR02275</v>
      </c>
      <c r="C142" t="str">
        <v>Louise</v>
      </c>
      <c r="D142" t="str">
        <v>Lamming</v>
      </c>
      <c r="E142" t="str">
        <v>Female</v>
      </c>
      <c r="F142" t="str">
        <v>Sales</v>
      </c>
      <c r="G142">
        <v>41934.71</v>
      </c>
      <c r="H142" t="str">
        <v>Under 50k</v>
      </c>
      <c r="I142">
        <v>43780</v>
      </c>
      <c r="J142" s="1"/>
    </row>
    <row r="143" spans="2:10" x14ac:dyDescent="0.25">
      <c r="B143" t="str">
        <v>PR02436</v>
      </c>
      <c r="C143" t="str">
        <v>Marmaduke</v>
      </c>
      <c r="D143" t="str">
        <v>Worssam</v>
      </c>
      <c r="E143" t="str">
        <v>Female</v>
      </c>
      <c r="F143" t="str">
        <v>Engineering</v>
      </c>
      <c r="G143">
        <v>78378.2</v>
      </c>
      <c r="H143" t="str">
        <v>50k to 100k</v>
      </c>
      <c r="I143">
        <v>43465</v>
      </c>
      <c r="J143" s="1"/>
    </row>
    <row r="144" spans="2:10" x14ac:dyDescent="0.25">
      <c r="B144" t="str">
        <v>PR02603</v>
      </c>
      <c r="C144" t="str">
        <v>Dinanath</v>
      </c>
      <c r="D144" t="str">
        <v>Simhambhatla</v>
      </c>
      <c r="E144" t="str">
        <v>Female</v>
      </c>
      <c r="F144" t="str">
        <v>Human Resources</v>
      </c>
      <c r="G144">
        <v>61994.76</v>
      </c>
      <c r="H144" t="str">
        <v>50k to 100k</v>
      </c>
      <c r="I144">
        <v>43794</v>
      </c>
      <c r="J144" s="1"/>
    </row>
    <row r="145" spans="2:10" x14ac:dyDescent="0.25">
      <c r="B145" t="str">
        <v>PR03158</v>
      </c>
      <c r="C145" t="str">
        <v>Danica</v>
      </c>
      <c r="D145" t="str">
        <v>Nayshe</v>
      </c>
      <c r="E145" t="str">
        <v>Female</v>
      </c>
      <c r="F145" t="str">
        <v>Services</v>
      </c>
      <c r="G145">
        <v>89690.38</v>
      </c>
      <c r="H145" t="str">
        <v>50k to 100k</v>
      </c>
      <c r="I145">
        <v>43206</v>
      </c>
      <c r="J145" s="1"/>
    </row>
    <row r="146" spans="2:10" x14ac:dyDescent="0.25">
      <c r="B146" t="str">
        <v>PR04380</v>
      </c>
      <c r="C146" t="str">
        <v>Van</v>
      </c>
      <c r="D146" t="str">
        <v>Tuxwell</v>
      </c>
      <c r="E146" t="str">
        <v>Female</v>
      </c>
      <c r="F146" t="str">
        <v>Business Development</v>
      </c>
      <c r="G146">
        <v>80695.740000000005</v>
      </c>
      <c r="H146" t="str">
        <v>50k to 100k</v>
      </c>
      <c r="I146">
        <v>43787</v>
      </c>
      <c r="J146" s="1"/>
    </row>
    <row r="147" spans="2:10" x14ac:dyDescent="0.25">
      <c r="B147" t="str">
        <v>PR04446</v>
      </c>
      <c r="C147" t="str">
        <v>Sameer</v>
      </c>
      <c r="D147" t="str">
        <v>Shashank</v>
      </c>
      <c r="E147" t="str">
        <v>Female</v>
      </c>
      <c r="F147" t="str">
        <v>Research and Development</v>
      </c>
      <c r="G147">
        <v>92336.08</v>
      </c>
      <c r="H147" t="str">
        <v>50k to 100k</v>
      </c>
      <c r="I147">
        <v>44431</v>
      </c>
      <c r="J147" s="1"/>
    </row>
    <row r="148" spans="2:10" x14ac:dyDescent="0.25">
      <c r="B148" t="str">
        <v>PR04473</v>
      </c>
      <c r="C148" t="str">
        <v>Wyn</v>
      </c>
      <c r="D148" t="str">
        <v>Treadger</v>
      </c>
      <c r="E148" t="str">
        <v>Female</v>
      </c>
      <c r="F148" t="str">
        <v>Business Development</v>
      </c>
      <c r="G148">
        <v>69192.850000000006</v>
      </c>
      <c r="H148" t="str">
        <v>50k to 100k</v>
      </c>
      <c r="I148">
        <v>44305</v>
      </c>
      <c r="J148" s="1"/>
    </row>
    <row r="149" spans="2:10" x14ac:dyDescent="0.25">
      <c r="B149" t="str">
        <v>PR04686</v>
      </c>
      <c r="C149" t="str">
        <v>Oona</v>
      </c>
      <c r="D149" t="str">
        <v>Donan</v>
      </c>
      <c r="E149" t="str">
        <v>Female</v>
      </c>
      <c r="F149" t="str">
        <v>Business Development</v>
      </c>
      <c r="G149">
        <v>98000</v>
      </c>
      <c r="H149" t="str">
        <v>50k to 100k</v>
      </c>
      <c r="I149">
        <v>43710</v>
      </c>
      <c r="J149" s="1"/>
    </row>
    <row r="150" spans="2:10" x14ac:dyDescent="0.25">
      <c r="B150" t="str">
        <v>SQ00105</v>
      </c>
      <c r="C150" t="str">
        <v>Sarayu</v>
      </c>
      <c r="D150" t="str">
        <v>Ragunathan</v>
      </c>
      <c r="E150" t="str">
        <v>Female</v>
      </c>
      <c r="F150" t="str">
        <v>Training</v>
      </c>
      <c r="G150">
        <v>86010.54</v>
      </c>
      <c r="H150" t="str">
        <v>50k to 100k</v>
      </c>
      <c r="I150">
        <v>43164</v>
      </c>
      <c r="J150" s="1"/>
    </row>
    <row r="151" spans="2:10" x14ac:dyDescent="0.25">
      <c r="B151" t="str">
        <v>SQ00841</v>
      </c>
      <c r="C151" t="str">
        <v>Bhuvan</v>
      </c>
      <c r="D151" t="str">
        <v>Pals</v>
      </c>
      <c r="E151" t="str">
        <v>Female</v>
      </c>
      <c r="F151" t="str">
        <v>Services</v>
      </c>
      <c r="G151">
        <v>89690.38</v>
      </c>
      <c r="H151" t="str">
        <v>50k to 100k</v>
      </c>
      <c r="I151">
        <v>43213</v>
      </c>
      <c r="J151" s="1"/>
    </row>
    <row r="152" spans="2:10" x14ac:dyDescent="0.25">
      <c r="B152" t="str">
        <v>SQ00914</v>
      </c>
      <c r="C152" t="str">
        <v>Duran</v>
      </c>
      <c r="D152" t="str">
        <v>Appala</v>
      </c>
      <c r="E152" t="str">
        <v>Female</v>
      </c>
      <c r="F152" t="str">
        <v>Product Management</v>
      </c>
      <c r="G152">
        <v>38438.239999999998</v>
      </c>
      <c r="H152" t="str">
        <v>Under 50k</v>
      </c>
      <c r="I152">
        <v>43962</v>
      </c>
      <c r="J152" s="1"/>
    </row>
    <row r="153" spans="2:10" x14ac:dyDescent="0.25">
      <c r="B153" t="str">
        <v>SQ00914</v>
      </c>
      <c r="C153" t="str">
        <v>Karuna</v>
      </c>
      <c r="D153" t="str">
        <v>Pashupathy</v>
      </c>
      <c r="E153" t="str">
        <v>Female</v>
      </c>
      <c r="F153" t="str">
        <v>Product Management</v>
      </c>
      <c r="G153">
        <v>38438.239999999998</v>
      </c>
      <c r="H153" t="str">
        <v>Under 50k</v>
      </c>
      <c r="I153">
        <v>43962</v>
      </c>
      <c r="J153" s="1"/>
    </row>
    <row r="154" spans="2:10" x14ac:dyDescent="0.25">
      <c r="B154" t="str">
        <v>SQ01402</v>
      </c>
      <c r="C154" t="str">
        <v>Sahaj</v>
      </c>
      <c r="D154" t="str">
        <v>Jonnalagadda</v>
      </c>
      <c r="E154" t="str">
        <v>Female</v>
      </c>
      <c r="F154" t="str">
        <v>Engineering</v>
      </c>
      <c r="G154">
        <v>44403.77</v>
      </c>
      <c r="H154" t="str">
        <v>Under 50k</v>
      </c>
      <c r="I154">
        <v>43416</v>
      </c>
      <c r="J154" s="1"/>
    </row>
    <row r="155" spans="2:10" x14ac:dyDescent="0.25">
      <c r="B155" t="str">
        <v>SQ01730</v>
      </c>
      <c r="C155" t="str">
        <v>Austine</v>
      </c>
      <c r="D155" t="str">
        <v>Littlewood</v>
      </c>
      <c r="E155" t="str">
        <v>Female</v>
      </c>
      <c r="F155" t="str">
        <v>Services</v>
      </c>
      <c r="G155">
        <v>32269.91</v>
      </c>
      <c r="H155" t="str">
        <v>Under 50k</v>
      </c>
      <c r="I155">
        <v>43346</v>
      </c>
      <c r="J155" s="1"/>
    </row>
    <row r="156" spans="2:10" x14ac:dyDescent="0.25">
      <c r="B156" t="str">
        <v>SQ02174</v>
      </c>
      <c r="C156" t="str">
        <v>Sidoney</v>
      </c>
      <c r="D156" t="str">
        <v>Yitzhok</v>
      </c>
      <c r="E156" t="str">
        <v>Female</v>
      </c>
      <c r="F156" t="str">
        <v>Engineering</v>
      </c>
      <c r="G156">
        <v>118442.54</v>
      </c>
      <c r="H156" t="str">
        <v>Above 100k</v>
      </c>
      <c r="I156">
        <v>44193</v>
      </c>
      <c r="J156" s="1"/>
    </row>
    <row r="157" spans="2:10" x14ac:dyDescent="0.25">
      <c r="B157" t="str">
        <v>SQ03321</v>
      </c>
      <c r="C157" t="str">
        <v>Gradey</v>
      </c>
      <c r="D157" t="str">
        <v>Litton</v>
      </c>
      <c r="E157" t="str">
        <v>Female</v>
      </c>
      <c r="F157" t="str">
        <v>Accounting</v>
      </c>
      <c r="G157">
        <v>68887.839999999997</v>
      </c>
      <c r="H157" t="str">
        <v>50k to 100k</v>
      </c>
      <c r="I157">
        <v>43297</v>
      </c>
      <c r="J157" s="1"/>
    </row>
    <row r="158" spans="2:10" x14ac:dyDescent="0.25">
      <c r="B158" t="str">
        <v>SQ03350</v>
      </c>
      <c r="C158" t="str">
        <v>Felice</v>
      </c>
      <c r="D158" t="str">
        <v>McMurty</v>
      </c>
      <c r="E158" t="str">
        <v>Female</v>
      </c>
      <c r="F158" t="str">
        <v>Product Management</v>
      </c>
      <c r="G158">
        <v>66865.490000000005</v>
      </c>
      <c r="H158" t="str">
        <v>50k to 100k</v>
      </c>
      <c r="I158">
        <v>43514</v>
      </c>
      <c r="J158" s="1"/>
    </row>
    <row r="159" spans="2:10" x14ac:dyDescent="0.25">
      <c r="B159" t="str">
        <v>SQ03350</v>
      </c>
      <c r="C159" t="str">
        <v>Felice</v>
      </c>
      <c r="D159" t="str">
        <v>McMurty</v>
      </c>
      <c r="E159" t="str">
        <v>Female</v>
      </c>
      <c r="F159" t="str">
        <v>Product Management</v>
      </c>
      <c r="G159">
        <v>66865.490000000005</v>
      </c>
      <c r="H159" t="str">
        <v>50k to 100k</v>
      </c>
      <c r="I159">
        <v>43514</v>
      </c>
      <c r="J159" s="1"/>
    </row>
    <row r="160" spans="2:10" x14ac:dyDescent="0.25">
      <c r="B160" t="str">
        <v>SQ03491</v>
      </c>
      <c r="C160" t="str">
        <v>Freda</v>
      </c>
      <c r="D160" t="str">
        <v>Legan</v>
      </c>
      <c r="E160" t="str">
        <v>Female</v>
      </c>
      <c r="F160" t="str">
        <v>Sales</v>
      </c>
      <c r="G160">
        <v>102129.37</v>
      </c>
      <c r="H160" t="str">
        <v>Above 100k</v>
      </c>
      <c r="I160">
        <v>44396</v>
      </c>
      <c r="J160" s="1"/>
    </row>
    <row r="161" spans="2:10" x14ac:dyDescent="0.25">
      <c r="B161" t="str">
        <v>SQ03546</v>
      </c>
      <c r="C161" t="str">
        <v>Amlankusum</v>
      </c>
      <c r="D161" t="str">
        <v>Rajabhushan</v>
      </c>
      <c r="E161" t="str">
        <v>Female</v>
      </c>
      <c r="F161" t="str">
        <v>Legal</v>
      </c>
      <c r="G161">
        <v>75733.740000000005</v>
      </c>
      <c r="H161" t="str">
        <v>50k to 100k</v>
      </c>
      <c r="I161">
        <v>44382</v>
      </c>
      <c r="J161" s="1"/>
    </row>
    <row r="162" spans="2:10" x14ac:dyDescent="0.25">
      <c r="B162" t="str">
        <v>SQ03625</v>
      </c>
      <c r="C162" t="str">
        <v>Fidela</v>
      </c>
      <c r="D162" t="str">
        <v>Artis</v>
      </c>
      <c r="E162" t="str">
        <v>Female</v>
      </c>
      <c r="F162" t="str">
        <v>Sales</v>
      </c>
      <c r="G162">
        <v>78020.39</v>
      </c>
      <c r="H162" t="str">
        <v>50k to 100k</v>
      </c>
      <c r="I162">
        <v>43899</v>
      </c>
      <c r="J162" s="1"/>
    </row>
    <row r="163" spans="2:10" x14ac:dyDescent="0.25">
      <c r="B163" t="str">
        <v>SQ03626</v>
      </c>
      <c r="C163" t="str">
        <v>Krishnakanta</v>
      </c>
      <c r="D163" t="str">
        <v>Vellanki</v>
      </c>
      <c r="E163" t="str">
        <v>Female</v>
      </c>
      <c r="F163" t="str">
        <v>Training</v>
      </c>
      <c r="G163">
        <v>95677.9</v>
      </c>
      <c r="H163" t="str">
        <v>50k to 100k</v>
      </c>
      <c r="I163">
        <v>44396</v>
      </c>
      <c r="J163" s="1"/>
    </row>
    <row r="164" spans="2:10" x14ac:dyDescent="0.25">
      <c r="B164" t="str">
        <v>SQ04613</v>
      </c>
      <c r="C164" t="str">
        <v>Sarojini</v>
      </c>
      <c r="D164" t="str">
        <v>Naueshwara</v>
      </c>
      <c r="E164" t="str">
        <v>Female</v>
      </c>
      <c r="F164" t="str">
        <v>Human Resources</v>
      </c>
      <c r="G164">
        <v>85264.38</v>
      </c>
      <c r="H164" t="str">
        <v>50k to 100k</v>
      </c>
      <c r="I164">
        <v>43220</v>
      </c>
      <c r="J164" s="1"/>
    </row>
    <row r="165" spans="2:10" x14ac:dyDescent="0.25">
      <c r="B165" t="str">
        <v>SQ04960</v>
      </c>
      <c r="C165" t="str">
        <v>Shubhra</v>
      </c>
      <c r="D165" t="str">
        <v>Potla</v>
      </c>
      <c r="E165" t="str">
        <v>Female</v>
      </c>
      <c r="F165" t="str">
        <v>Support</v>
      </c>
      <c r="G165">
        <v>71924.850000000006</v>
      </c>
      <c r="H165" t="str">
        <v>50k to 100k</v>
      </c>
      <c r="I165">
        <v>43822</v>
      </c>
      <c r="J165" s="1"/>
    </row>
    <row r="166" spans="2:10" x14ac:dyDescent="0.25">
      <c r="B166" t="str">
        <v>TN00083</v>
      </c>
      <c r="C166" t="str">
        <v>Chandana</v>
      </c>
      <c r="D166" t="str">
        <v>Sannidhi</v>
      </c>
      <c r="E166" t="str">
        <v>Female</v>
      </c>
      <c r="F166" t="str">
        <v>Business Development</v>
      </c>
      <c r="G166">
        <v>61688.77</v>
      </c>
      <c r="H166" t="str">
        <v>50k to 100k</v>
      </c>
      <c r="I166">
        <v>43346</v>
      </c>
      <c r="J166" s="1"/>
    </row>
    <row r="167" spans="2:10" x14ac:dyDescent="0.25">
      <c r="B167" t="str">
        <v>TN00182</v>
      </c>
      <c r="C167" t="str">
        <v>Camilla</v>
      </c>
      <c r="D167" t="str">
        <v>Castle</v>
      </c>
      <c r="E167" t="str">
        <v>Female</v>
      </c>
      <c r="F167" t="str">
        <v>Product Management</v>
      </c>
      <c r="G167">
        <v>75475.929999999993</v>
      </c>
      <c r="H167" t="str">
        <v>50k to 100k</v>
      </c>
      <c r="I167">
        <v>43794</v>
      </c>
      <c r="J167" s="1"/>
    </row>
    <row r="168" spans="2:10" x14ac:dyDescent="0.25">
      <c r="B168" t="str">
        <v>TN00890</v>
      </c>
      <c r="C168" t="str">
        <v>Mayur</v>
      </c>
      <c r="D168" t="str">
        <v>Kousika</v>
      </c>
      <c r="E168" t="str">
        <v>Female</v>
      </c>
      <c r="F168" t="str">
        <v>Training</v>
      </c>
      <c r="G168">
        <v>71570.990000000005</v>
      </c>
      <c r="H168" t="str">
        <v>50k to 100k</v>
      </c>
      <c r="I168">
        <v>44249</v>
      </c>
      <c r="J168" s="1"/>
    </row>
    <row r="169" spans="2:10" x14ac:dyDescent="0.25">
      <c r="B169" t="str">
        <v>TN01281</v>
      </c>
      <c r="C169" t="str">
        <v>Cletus</v>
      </c>
      <c r="D169" t="str">
        <v>McGarahan</v>
      </c>
      <c r="E169" t="str">
        <v>Female</v>
      </c>
      <c r="F169" t="str">
        <v>Engineering</v>
      </c>
      <c r="G169">
        <v>114425.19</v>
      </c>
      <c r="H169" t="str">
        <v>Above 100k</v>
      </c>
      <c r="I169">
        <v>43857</v>
      </c>
      <c r="J169" s="1"/>
    </row>
    <row r="170" spans="2:10" x14ac:dyDescent="0.25">
      <c r="B170" t="str">
        <v>TN01601</v>
      </c>
      <c r="C170" t="str">
        <v>Melva</v>
      </c>
      <c r="D170" t="str">
        <v>Jickells</v>
      </c>
      <c r="E170" t="str">
        <v>Female</v>
      </c>
      <c r="F170" t="str">
        <v>Product Management</v>
      </c>
      <c r="G170">
        <v>68795.48</v>
      </c>
      <c r="H170" t="str">
        <v>50k to 100k</v>
      </c>
      <c r="I170">
        <v>44277</v>
      </c>
      <c r="J170" s="1"/>
    </row>
    <row r="171" spans="2:10" x14ac:dyDescent="0.25">
      <c r="B171" t="str">
        <v>TN01601</v>
      </c>
      <c r="C171" t="str">
        <v>Melva</v>
      </c>
      <c r="D171" t="str">
        <v>Jickells</v>
      </c>
      <c r="E171" t="str">
        <v>Female</v>
      </c>
      <c r="F171" t="str">
        <v>Product Management</v>
      </c>
      <c r="G171">
        <v>68795.48</v>
      </c>
      <c r="H171" t="str">
        <v>50k to 100k</v>
      </c>
      <c r="I171">
        <v>44277</v>
      </c>
      <c r="J171" s="1"/>
    </row>
    <row r="172" spans="2:10" x14ac:dyDescent="0.25">
      <c r="B172" t="str">
        <v>TN02749</v>
      </c>
      <c r="C172" t="str">
        <v>Parasuramudu</v>
      </c>
      <c r="D172" t="str">
        <v>Jamakayala</v>
      </c>
      <c r="E172" t="str">
        <v>Female</v>
      </c>
      <c r="F172" t="str">
        <v>Training</v>
      </c>
      <c r="G172">
        <v>57002.02</v>
      </c>
      <c r="H172" t="str">
        <v>50k to 100k</v>
      </c>
      <c r="I172">
        <v>43192</v>
      </c>
      <c r="J172" s="1"/>
    </row>
    <row r="173" spans="2:10" x14ac:dyDescent="0.25">
      <c r="B173" t="str">
        <v>TN02883</v>
      </c>
      <c r="C173" t="str">
        <v>John</v>
      </c>
      <c r="D173" t="str">
        <v>Joseph</v>
      </c>
      <c r="E173" t="str">
        <v>Female</v>
      </c>
      <c r="F173" t="str">
        <v>Sales</v>
      </c>
      <c r="G173">
        <v>84762.76</v>
      </c>
      <c r="H173" t="str">
        <v>50k to 100k</v>
      </c>
      <c r="I173">
        <v>43332</v>
      </c>
      <c r="J173" s="1"/>
    </row>
    <row r="174" spans="2:10" x14ac:dyDescent="0.25">
      <c r="B174" t="str">
        <v>TN03575</v>
      </c>
      <c r="C174" t="str">
        <v>Janina</v>
      </c>
      <c r="D174" t="str">
        <v>Wolverson</v>
      </c>
      <c r="E174" t="str">
        <v>Female</v>
      </c>
      <c r="F174" t="str">
        <v>Research and Development</v>
      </c>
      <c r="G174">
        <v>99683.67</v>
      </c>
      <c r="H174" t="str">
        <v>50k to 100k</v>
      </c>
      <c r="I174">
        <v>43500</v>
      </c>
      <c r="J174" s="1"/>
    </row>
    <row r="175" spans="2:10" x14ac:dyDescent="0.25">
      <c r="B175" t="str">
        <v>TN03575</v>
      </c>
      <c r="C175" t="str">
        <v>Janina</v>
      </c>
      <c r="D175" t="str">
        <v>Wolverson</v>
      </c>
      <c r="E175" t="str">
        <v>Female</v>
      </c>
      <c r="F175" t="str">
        <v>Research and Development</v>
      </c>
      <c r="G175">
        <v>99683.67</v>
      </c>
      <c r="H175" t="str">
        <v>50k to 100k</v>
      </c>
      <c r="I175">
        <v>43500</v>
      </c>
      <c r="J175" s="1"/>
    </row>
    <row r="176" spans="2:10" x14ac:dyDescent="0.25">
      <c r="B176" t="str">
        <v>TN04067</v>
      </c>
      <c r="C176" t="str">
        <v>Lea</v>
      </c>
      <c r="D176" t="str">
        <v>Chaplin</v>
      </c>
      <c r="E176" t="str">
        <v>Female</v>
      </c>
      <c r="F176" t="str">
        <v>Human Resources</v>
      </c>
      <c r="G176">
        <v>73488.679999999993</v>
      </c>
      <c r="H176" t="str">
        <v>50k to 100k</v>
      </c>
      <c r="I176">
        <v>43570</v>
      </c>
      <c r="J176" s="1"/>
    </row>
    <row r="177" spans="2:10" x14ac:dyDescent="0.25">
      <c r="B177" t="str">
        <v>TN04175</v>
      </c>
      <c r="C177" t="str">
        <v>Hinda</v>
      </c>
      <c r="D177" t="str">
        <v>Label</v>
      </c>
      <c r="E177" t="str">
        <v>Female</v>
      </c>
      <c r="F177" t="str">
        <v>Human Resources</v>
      </c>
      <c r="G177">
        <v>92704.48</v>
      </c>
      <c r="H177" t="str">
        <v>50k to 100k</v>
      </c>
      <c r="I177">
        <v>43430</v>
      </c>
      <c r="J177" s="1"/>
    </row>
    <row r="178" spans="2:10" x14ac:dyDescent="0.25">
      <c r="B178" t="str">
        <v>TN04246</v>
      </c>
      <c r="C178" t="str">
        <v>Shaylyn</v>
      </c>
      <c r="D178" t="str">
        <v>Ransbury</v>
      </c>
      <c r="E178" t="str">
        <v>Female</v>
      </c>
      <c r="F178" t="str">
        <v>Support</v>
      </c>
      <c r="G178">
        <v>100371.31</v>
      </c>
      <c r="H178" t="str">
        <v>Above 100k</v>
      </c>
      <c r="I178">
        <v>44067</v>
      </c>
      <c r="J178" s="1"/>
    </row>
    <row r="179" spans="2:10" x14ac:dyDescent="0.25">
      <c r="B179" t="str">
        <v>TN04740</v>
      </c>
      <c r="C179" t="str">
        <v>Tristam</v>
      </c>
      <c r="D179" t="str">
        <v>Cuming</v>
      </c>
      <c r="E179" t="str">
        <v>Female</v>
      </c>
      <c r="F179" t="str">
        <v>Support</v>
      </c>
      <c r="G179">
        <v>104038.9</v>
      </c>
      <c r="H179" t="str">
        <v>Above 100k</v>
      </c>
      <c r="I179">
        <v>43815</v>
      </c>
      <c r="J179" s="1"/>
    </row>
    <row r="180" spans="2:10" x14ac:dyDescent="0.25">
      <c r="B180" t="str">
        <v>VT00578</v>
      </c>
      <c r="C180" t="str">
        <v>Magnum</v>
      </c>
      <c r="D180" t="str">
        <v>Locksley</v>
      </c>
      <c r="E180" t="str">
        <v>Female</v>
      </c>
      <c r="F180" t="str">
        <v>Services</v>
      </c>
      <c r="G180">
        <v>42314.39</v>
      </c>
      <c r="H180" t="str">
        <v>Under 50k</v>
      </c>
      <c r="I180">
        <v>44487</v>
      </c>
      <c r="J180" s="1"/>
    </row>
    <row r="181" spans="2:10" x14ac:dyDescent="0.25">
      <c r="B181" t="str">
        <v>VT00596</v>
      </c>
      <c r="C181" t="str">
        <v>Letisha</v>
      </c>
      <c r="D181" t="str">
        <v>Carrett</v>
      </c>
      <c r="E181" t="str">
        <v>Female</v>
      </c>
      <c r="F181" t="str">
        <v>Sales</v>
      </c>
      <c r="G181">
        <v>84598.88</v>
      </c>
      <c r="H181" t="str">
        <v>50k to 100k</v>
      </c>
      <c r="I181">
        <v>44116</v>
      </c>
      <c r="J181" s="1"/>
    </row>
    <row r="182" spans="2:10" x14ac:dyDescent="0.25">
      <c r="B182" t="str">
        <v>VT00596</v>
      </c>
      <c r="C182" t="str">
        <v>Letisha</v>
      </c>
      <c r="D182" t="str">
        <v>Carrett</v>
      </c>
      <c r="E182" t="str">
        <v>Female</v>
      </c>
      <c r="F182" t="str">
        <v>Sales</v>
      </c>
      <c r="G182">
        <v>84598.88</v>
      </c>
      <c r="H182" t="str">
        <v>50k to 100k</v>
      </c>
      <c r="I182">
        <v>44116</v>
      </c>
      <c r="J182" s="1"/>
    </row>
    <row r="183" spans="2:10" x14ac:dyDescent="0.25">
      <c r="B183" t="str">
        <v>VT00740</v>
      </c>
      <c r="C183" t="str">
        <v>Chitrasen</v>
      </c>
      <c r="D183" t="str">
        <v>Laul</v>
      </c>
      <c r="E183" t="str">
        <v>Female</v>
      </c>
      <c r="F183" t="str">
        <v>Research and Development</v>
      </c>
      <c r="G183">
        <v>46751.7</v>
      </c>
      <c r="H183" t="str">
        <v>Under 50k</v>
      </c>
      <c r="I183">
        <v>43843</v>
      </c>
      <c r="J183" s="1"/>
    </row>
    <row r="184" spans="2:10" x14ac:dyDescent="0.25">
      <c r="B184" t="str">
        <v>VT01249</v>
      </c>
      <c r="C184" t="str">
        <v>Brendan</v>
      </c>
      <c r="D184" t="str">
        <v>Edgeller</v>
      </c>
      <c r="E184" t="str">
        <v>Female</v>
      </c>
      <c r="F184" t="str">
        <v>Legal</v>
      </c>
      <c r="G184">
        <v>31042.51</v>
      </c>
      <c r="H184" t="str">
        <v>Under 50k</v>
      </c>
      <c r="I184">
        <v>44473</v>
      </c>
      <c r="J184" s="1"/>
    </row>
    <row r="185" spans="2:10" x14ac:dyDescent="0.25">
      <c r="B185" t="str">
        <v>VT01610</v>
      </c>
      <c r="C185" t="str">
        <v>Dhruv</v>
      </c>
      <c r="D185" t="str">
        <v>Manjunath</v>
      </c>
      <c r="E185" t="str">
        <v>Female</v>
      </c>
      <c r="F185" t="str">
        <v>Accounting</v>
      </c>
      <c r="G185">
        <v>76303.820000000007</v>
      </c>
      <c r="H185" t="str">
        <v>50k to 100k</v>
      </c>
      <c r="I185">
        <v>43458</v>
      </c>
      <c r="J185" s="1"/>
    </row>
    <row r="186" spans="2:10" x14ac:dyDescent="0.25">
      <c r="B186" t="str">
        <v>VT01610</v>
      </c>
      <c r="C186" t="str">
        <v>Kunja</v>
      </c>
      <c r="D186" t="str">
        <v>Prashanta</v>
      </c>
      <c r="E186" t="str">
        <v>Female</v>
      </c>
      <c r="F186" t="str">
        <v>Accounting</v>
      </c>
      <c r="G186">
        <v>76303.820000000007</v>
      </c>
      <c r="H186" t="str">
        <v>50k to 100k</v>
      </c>
      <c r="I186">
        <v>43458</v>
      </c>
      <c r="J186" s="1"/>
    </row>
    <row r="187" spans="2:10" x14ac:dyDescent="0.25">
      <c r="B187" t="str">
        <v>VT01803</v>
      </c>
      <c r="C187" t="str">
        <v>Freddy</v>
      </c>
      <c r="D187" t="str">
        <v>Linford</v>
      </c>
      <c r="E187" t="str">
        <v>Female</v>
      </c>
      <c r="F187" t="str">
        <v>Training</v>
      </c>
      <c r="G187">
        <v>93128.34</v>
      </c>
      <c r="H187" t="str">
        <v>50k to 100k</v>
      </c>
      <c r="I187">
        <v>43164</v>
      </c>
      <c r="J187" s="1"/>
    </row>
    <row r="188" spans="2:10" x14ac:dyDescent="0.25">
      <c r="B188" t="str">
        <v>VT02374</v>
      </c>
      <c r="C188" t="str">
        <v>Delphine</v>
      </c>
      <c r="D188" t="str">
        <v>Jewis</v>
      </c>
      <c r="E188" t="str">
        <v>Female</v>
      </c>
      <c r="F188" t="str">
        <v>Accounting</v>
      </c>
      <c r="G188">
        <v>71823.56</v>
      </c>
      <c r="H188" t="str">
        <v>50k to 100k</v>
      </c>
      <c r="I188">
        <v>43374</v>
      </c>
      <c r="J188" s="1"/>
    </row>
    <row r="189" spans="2:10" x14ac:dyDescent="0.25">
      <c r="B189" t="str">
        <v>VT02374</v>
      </c>
      <c r="C189" t="str">
        <v>Delphine</v>
      </c>
      <c r="D189" t="str">
        <v>Jewis</v>
      </c>
      <c r="E189" t="str">
        <v>Female</v>
      </c>
      <c r="F189" t="str">
        <v>Accounting</v>
      </c>
      <c r="G189">
        <v>71823.56</v>
      </c>
      <c r="H189" t="str">
        <v>50k to 100k</v>
      </c>
      <c r="I189">
        <v>43374</v>
      </c>
      <c r="J189" s="1"/>
    </row>
    <row r="190" spans="2:10" x14ac:dyDescent="0.25">
      <c r="B190" t="str">
        <v>VT02532</v>
      </c>
      <c r="C190" t="str">
        <v>Adey</v>
      </c>
      <c r="D190" t="str">
        <v>Ryal</v>
      </c>
      <c r="E190" t="str">
        <v>Female</v>
      </c>
      <c r="F190" t="str">
        <v>Legal</v>
      </c>
      <c r="G190">
        <v>32496.880000000001</v>
      </c>
      <c r="H190" t="str">
        <v>Under 50k</v>
      </c>
      <c r="I190">
        <v>43234</v>
      </c>
      <c r="J190" s="1"/>
    </row>
    <row r="191" spans="2:10" x14ac:dyDescent="0.25">
      <c r="B191" t="str">
        <v>VT03701</v>
      </c>
      <c r="C191" t="str">
        <v>Narois</v>
      </c>
      <c r="D191" t="str">
        <v>Motiwala</v>
      </c>
      <c r="E191" t="str">
        <v>Female</v>
      </c>
      <c r="F191" t="str">
        <v>Product Management</v>
      </c>
      <c r="G191">
        <v>89829.33</v>
      </c>
      <c r="H191" t="str">
        <v>50k to 100k</v>
      </c>
      <c r="I191">
        <v>43794</v>
      </c>
      <c r="J191" s="1"/>
    </row>
    <row r="192" spans="2:10" x14ac:dyDescent="0.25">
      <c r="B192" t="str">
        <v>VT03988</v>
      </c>
      <c r="C192" t="str">
        <v>Venkat</v>
      </c>
      <c r="D192" t="str">
        <v>Kodi</v>
      </c>
      <c r="E192" t="str">
        <v>Female</v>
      </c>
      <c r="F192" t="str">
        <v>Support</v>
      </c>
      <c r="G192">
        <v>58935.92</v>
      </c>
      <c r="H192" t="str">
        <v>50k to 100k</v>
      </c>
      <c r="I192">
        <v>43717</v>
      </c>
      <c r="J192" s="1"/>
    </row>
    <row r="193" spans="2:10" x14ac:dyDescent="0.25">
      <c r="B193" t="str">
        <v>VT04415</v>
      </c>
      <c r="C193" t="str">
        <v>Malory</v>
      </c>
      <c r="D193" t="str">
        <v>Biles</v>
      </c>
      <c r="E193" t="str">
        <v>Female</v>
      </c>
      <c r="F193" t="str">
        <v>Training</v>
      </c>
      <c r="G193">
        <v>58744.17</v>
      </c>
      <c r="H193" t="str">
        <v>50k to 100k</v>
      </c>
      <c r="I193">
        <v>43171</v>
      </c>
      <c r="J193" s="1"/>
    </row>
    <row r="194" spans="2:10" x14ac:dyDescent="0.25">
      <c r="B194" t="str">
        <v>VT04552</v>
      </c>
      <c r="C194" t="str">
        <v>Theresita</v>
      </c>
      <c r="D194" t="str">
        <v>Chasmer</v>
      </c>
      <c r="E194" t="str">
        <v>Female</v>
      </c>
      <c r="F194" t="str">
        <v>Product Management</v>
      </c>
      <c r="G194">
        <v>106665.67</v>
      </c>
      <c r="H194" t="str">
        <v>Above 100k</v>
      </c>
      <c r="I194">
        <v>43311</v>
      </c>
      <c r="J194" s="1"/>
    </row>
    <row r="195" spans="2:10" x14ac:dyDescent="0.25">
      <c r="J195" s="1"/>
    </row>
    <row r="196" spans="2:10" x14ac:dyDescent="0.25">
      <c r="J196" s="1"/>
    </row>
    <row r="197" spans="2:10" x14ac:dyDescent="0.25">
      <c r="B197" s="23" t="s">
        <v>776</v>
      </c>
      <c r="C197" s="23"/>
      <c r="D197" s="23"/>
      <c r="E197" s="23"/>
      <c r="F197" s="23"/>
      <c r="G197" s="23"/>
      <c r="J197" s="1"/>
    </row>
    <row r="198" spans="2:10" x14ac:dyDescent="0.25">
      <c r="J198" s="1"/>
    </row>
    <row r="199" spans="2:10" x14ac:dyDescent="0.25">
      <c r="B199" s="39" t="s">
        <v>781</v>
      </c>
      <c r="C199" s="39">
        <f>COUNTA(staff1[Emp ID])</f>
        <v>260</v>
      </c>
      <c r="D199" s="40">
        <f>AVERAGE(staff1[Salary])</f>
        <v>73861.325230769246</v>
      </c>
      <c r="E199" s="39"/>
      <c r="F199" s="39"/>
      <c r="G199" s="39">
        <f>MAX(staff1[Salary])</f>
        <v>120000</v>
      </c>
      <c r="J199" s="1"/>
    </row>
    <row r="200" spans="2:10" ht="30" customHeight="1" x14ac:dyDescent="0.25">
      <c r="B200" s="42" t="s">
        <v>4</v>
      </c>
      <c r="C200" s="42" t="s">
        <v>777</v>
      </c>
      <c r="D200" s="42" t="s">
        <v>778</v>
      </c>
      <c r="E200" s="38" t="s">
        <v>779</v>
      </c>
      <c r="F200" s="38"/>
      <c r="G200" s="42" t="s">
        <v>780</v>
      </c>
      <c r="H200" s="41" t="s">
        <v>782</v>
      </c>
      <c r="I200" s="41" t="s">
        <v>783</v>
      </c>
      <c r="J200" s="1"/>
    </row>
    <row r="201" spans="2:10" x14ac:dyDescent="0.25">
      <c r="B201" t="str" cm="1">
        <f t="array" ref="B201:B212">_xlfn._xlws.SORT(_xlfn.UNIQUE(staff1[Department]))</f>
        <v>Accounting</v>
      </c>
      <c r="C201">
        <f>COUNTIF(staff1[Department],B201)</f>
        <v>26</v>
      </c>
      <c r="D201" s="32">
        <f>AVERAGEIFS(staff1[Salary],staff1[Department],B201)</f>
        <v>69806.945769230777</v>
      </c>
      <c r="E201" s="33">
        <f>D201-D$199</f>
        <v>-4054.3794615384686</v>
      </c>
      <c r="F201" s="37" cm="1">
        <f t="array" ref="F201">_xlfn.ANCHORARRAY(E201)</f>
        <v>-4054.3794615384686</v>
      </c>
      <c r="G201" s="31">
        <f>_xlfn.MAXIFS(staff1[Salary],staff1[Department],B201)</f>
        <v>119022.49</v>
      </c>
      <c r="H201" s="31" cm="1">
        <f t="array" ref="H201">MEDIAN(_xlfn._xlws.FILTER(staff1[Salary],staff1[Department]=B201))</f>
        <v>69025.614999999991</v>
      </c>
      <c r="I201" s="43">
        <f>COUNTIFS(staff1[Department],B201,staff1[Gender],"Female")/C201</f>
        <v>0.34615384615384615</v>
      </c>
      <c r="J201" s="1"/>
    </row>
    <row r="202" spans="2:10" x14ac:dyDescent="0.25">
      <c r="B202" t="str">
        <v>Business Development</v>
      </c>
      <c r="C202">
        <f>COUNTIF(staff1[Department],B202)</f>
        <v>26</v>
      </c>
      <c r="D202" s="32">
        <f>AVERAGEIFS(staff1[Salary],staff1[Department],B202)</f>
        <v>79781.805769230778</v>
      </c>
      <c r="E202" s="33">
        <f t="shared" ref="E202:E212" si="0">D202-D$199</f>
        <v>5920.480538461532</v>
      </c>
      <c r="F202" s="37" cm="1">
        <f t="array" ref="F202">_xlfn.ANCHORARRAY(E202)</f>
        <v>5920.480538461532</v>
      </c>
      <c r="G202" s="31">
        <f>_xlfn.MAXIFS(staff1[Salary],staff1[Department],B202)</f>
        <v>110042.37</v>
      </c>
      <c r="H202" s="31" cm="1">
        <f t="array" ref="H202">MEDIAN(_xlfn._xlws.FILTER(staff1[Salary],staff1[Department]=B202))</f>
        <v>80695.740000000005</v>
      </c>
      <c r="I202" s="43">
        <f>COUNTIFS(staff1[Department],B202,staff1[Gender],"Female")/C202</f>
        <v>0.42307692307692307</v>
      </c>
      <c r="J202" s="1"/>
    </row>
    <row r="203" spans="2:10" x14ac:dyDescent="0.25">
      <c r="B203" t="str">
        <v>Engineering</v>
      </c>
      <c r="C203">
        <f>COUNTIF(staff1[Department],B203)</f>
        <v>26</v>
      </c>
      <c r="D203" s="32">
        <f>AVERAGEIFS(staff1[Salary],staff1[Department],B203)</f>
        <v>81976.441923076913</v>
      </c>
      <c r="E203" s="33">
        <f t="shared" si="0"/>
        <v>8115.1166923076671</v>
      </c>
      <c r="F203" s="37" cm="1">
        <f t="array" ref="F203">_xlfn.ANCHORARRAY(E203)</f>
        <v>8115.1166923076671</v>
      </c>
      <c r="G203" s="31">
        <f>_xlfn.MAXIFS(staff1[Salary],staff1[Department],B203)</f>
        <v>120000</v>
      </c>
      <c r="H203" s="31" cm="1">
        <f t="array" ref="H203">MEDIAN(_xlfn._xlws.FILTER(staff1[Salary],staff1[Department]=B203))</f>
        <v>85332.304999999993</v>
      </c>
      <c r="I203" s="43">
        <f>COUNTIFS(staff1[Department],B203,staff1[Gender],"Female")/C203</f>
        <v>0.38461538461538464</v>
      </c>
      <c r="J203" s="1"/>
    </row>
    <row r="204" spans="2:10" x14ac:dyDescent="0.25">
      <c r="B204" t="str">
        <v>Human Resources</v>
      </c>
      <c r="C204">
        <f>COUNTIF(staff1[Department],B204)</f>
        <v>22</v>
      </c>
      <c r="D204" s="32">
        <f>AVERAGEIFS(staff1[Salary],staff1[Department],B204)</f>
        <v>73109.377727272746</v>
      </c>
      <c r="E204" s="33">
        <f t="shared" si="0"/>
        <v>-751.94750349649985</v>
      </c>
      <c r="F204" s="37" cm="1">
        <f t="array" ref="F204">_xlfn.ANCHORARRAY(E204)</f>
        <v>-751.94750349649985</v>
      </c>
      <c r="G204" s="31">
        <f>_xlfn.MAXIFS(staff1[Salary],staff1[Department],B204)</f>
        <v>103494.94</v>
      </c>
      <c r="H204" s="31" cm="1">
        <f t="array" ref="H204">MEDIAN(_xlfn._xlws.FILTER(staff1[Salary],staff1[Department]=B204))</f>
        <v>73182.794999999998</v>
      </c>
      <c r="I204" s="43">
        <f>COUNTIFS(staff1[Department],B204,staff1[Gender],"Female")/C204</f>
        <v>0.31818181818181818</v>
      </c>
      <c r="J204" s="1"/>
    </row>
    <row r="205" spans="2:10" x14ac:dyDescent="0.25">
      <c r="B205" t="str">
        <v>Legal</v>
      </c>
      <c r="C205">
        <f>COUNTIF(staff1[Department],B205)</f>
        <v>21</v>
      </c>
      <c r="D205" s="32">
        <f>AVERAGEIFS(staff1[Salary],staff1[Department],B205)</f>
        <v>67242.51761904762</v>
      </c>
      <c r="E205" s="33">
        <f t="shared" si="0"/>
        <v>-6618.807611721626</v>
      </c>
      <c r="F205" s="37" cm="1">
        <f t="array" ref="F205">_xlfn.ANCHORARRAY(E205)</f>
        <v>-6618.807611721626</v>
      </c>
      <c r="G205" s="31">
        <f>_xlfn.MAXIFS(staff1[Salary],staff1[Department],B205)</f>
        <v>113747.56</v>
      </c>
      <c r="H205" s="31" cm="1">
        <f t="array" ref="H205">MEDIAN(_xlfn._xlws.FILTER(staff1[Salary],staff1[Department]=B205))</f>
        <v>66572.58</v>
      </c>
      <c r="I205" s="43">
        <f>COUNTIFS(staff1[Department],B205,staff1[Gender],"Female")/C205</f>
        <v>0.33333333333333331</v>
      </c>
      <c r="J205" s="1"/>
    </row>
    <row r="206" spans="2:10" x14ac:dyDescent="0.25">
      <c r="B206" t="str">
        <v>Marketing</v>
      </c>
      <c r="C206">
        <f>COUNTIF(staff1[Department],B206)</f>
        <v>12</v>
      </c>
      <c r="D206" s="32">
        <f>AVERAGEIFS(staff1[Salary],staff1[Department],B206)</f>
        <v>64441.299999999996</v>
      </c>
      <c r="E206" s="33">
        <f t="shared" si="0"/>
        <v>-9420.0252307692499</v>
      </c>
      <c r="F206" s="37" cm="1">
        <f t="array" ref="F206">_xlfn.ANCHORARRAY(E206)</f>
        <v>-9420.0252307692499</v>
      </c>
      <c r="G206" s="31">
        <f>_xlfn.MAXIFS(staff1[Salary],staff1[Department],B206)</f>
        <v>104903.79</v>
      </c>
      <c r="H206" s="31" cm="1">
        <f t="array" ref="H206">MEDIAN(_xlfn._xlws.FILTER(staff1[Salary],staff1[Department]=B206))</f>
        <v>66961.489999999991</v>
      </c>
      <c r="I206" s="43">
        <f>COUNTIFS(staff1[Department],B206,staff1[Gender],"Female")/C206</f>
        <v>0.41666666666666669</v>
      </c>
      <c r="J206" s="1"/>
    </row>
    <row r="207" spans="2:10" x14ac:dyDescent="0.25">
      <c r="B207" t="str">
        <v>Product Management</v>
      </c>
      <c r="C207">
        <f>COUNTIF(staff1[Department],B207)</f>
        <v>29</v>
      </c>
      <c r="D207" s="32">
        <f>AVERAGEIFS(staff1[Salary],staff1[Department],B207)</f>
        <v>75179.064482758593</v>
      </c>
      <c r="E207" s="33">
        <f t="shared" si="0"/>
        <v>1317.7392519893474</v>
      </c>
      <c r="F207" s="37" cm="1">
        <f t="array" ref="F207">_xlfn.ANCHORARRAY(E207)</f>
        <v>1317.7392519893474</v>
      </c>
      <c r="G207" s="31">
        <f>_xlfn.MAXIFS(staff1[Salary],staff1[Department],B207)</f>
        <v>115191.38</v>
      </c>
      <c r="H207" s="31" cm="1">
        <f t="array" ref="H207">MEDIAN(_xlfn._xlws.FILTER(staff1[Salary],staff1[Department]=B207))</f>
        <v>72502.61</v>
      </c>
      <c r="I207" s="43">
        <f>COUNTIFS(staff1[Department],B207,staff1[Gender],"Female")/C207</f>
        <v>0.58620689655172409</v>
      </c>
      <c r="J207" s="1"/>
    </row>
    <row r="208" spans="2:10" x14ac:dyDescent="0.25">
      <c r="B208" t="str">
        <v>Research and Development</v>
      </c>
      <c r="C208">
        <f>COUNTIF(staff1[Department],B208)</f>
        <v>18</v>
      </c>
      <c r="D208" s="32">
        <f>AVERAGEIFS(staff1[Salary],staff1[Department],B208)</f>
        <v>66910.765555555554</v>
      </c>
      <c r="E208" s="33">
        <f t="shared" si="0"/>
        <v>-6950.5596752136917</v>
      </c>
      <c r="F208" s="37" cm="1">
        <f t="array" ref="F208">_xlfn.ANCHORARRAY(E208)</f>
        <v>-6950.5596752136917</v>
      </c>
      <c r="G208" s="31">
        <f>_xlfn.MAXIFS(staff1[Salary],staff1[Department],B208)</f>
        <v>99683.67</v>
      </c>
      <c r="H208" s="31" cm="1">
        <f t="array" ref="H208">MEDIAN(_xlfn._xlws.FILTER(staff1[Salary],staff1[Department]=B208))</f>
        <v>65995.375</v>
      </c>
      <c r="I208" s="43">
        <f>COUNTIFS(staff1[Department],B208,staff1[Gender],"Female")/C208</f>
        <v>0.61111111111111116</v>
      </c>
      <c r="J208" s="1"/>
    </row>
    <row r="209" spans="2:10" x14ac:dyDescent="0.25">
      <c r="B209" t="str">
        <v>Sales</v>
      </c>
      <c r="C209">
        <f>COUNTIF(staff1[Department],B209)</f>
        <v>18</v>
      </c>
      <c r="D209" s="32">
        <f>AVERAGEIFS(staff1[Salary],staff1[Department],B209)</f>
        <v>71897.095555555556</v>
      </c>
      <c r="E209" s="33">
        <f t="shared" si="0"/>
        <v>-1964.2296752136899</v>
      </c>
      <c r="F209" s="37" cm="1">
        <f t="array" ref="F209">_xlfn.ANCHORARRAY(E209)</f>
        <v>-1964.2296752136899</v>
      </c>
      <c r="G209" s="31">
        <f>_xlfn.MAXIFS(staff1[Salary],staff1[Department],B209)</f>
        <v>102129.37</v>
      </c>
      <c r="H209" s="31" cm="1">
        <f t="array" ref="H209">MEDIAN(_xlfn._xlws.FILTER(staff1[Salary],staff1[Department]=B209))</f>
        <v>79396.654999999999</v>
      </c>
      <c r="I209" s="43">
        <f>COUNTIFS(staff1[Department],B209,staff1[Gender],"Female")/C209</f>
        <v>0.55555555555555558</v>
      </c>
      <c r="J209" s="1"/>
    </row>
    <row r="210" spans="2:10" x14ac:dyDescent="0.25">
      <c r="B210" t="str">
        <v>Services</v>
      </c>
      <c r="C210">
        <f>COUNTIF(staff1[Department],B210)</f>
        <v>21</v>
      </c>
      <c r="D210" s="32">
        <f>AVERAGEIFS(staff1[Salary],staff1[Department],B210)</f>
        <v>74673.974761904756</v>
      </c>
      <c r="E210" s="33">
        <f t="shared" si="0"/>
        <v>812.64953113551019</v>
      </c>
      <c r="F210" s="37" cm="1">
        <f t="array" ref="F210">_xlfn.ANCHORARRAY(E210)</f>
        <v>812.64953113551019</v>
      </c>
      <c r="G210" s="31">
        <f>_xlfn.MAXIFS(staff1[Salary],staff1[Department],B210)</f>
        <v>120000</v>
      </c>
      <c r="H210" s="31" cm="1">
        <f t="array" ref="H210">MEDIAN(_xlfn._xlws.FILTER(staff1[Salary],staff1[Department]=B210))</f>
        <v>77096.05</v>
      </c>
      <c r="I210" s="43">
        <f>COUNTIFS(staff1[Department],B210,staff1[Gender],"Female")/C210</f>
        <v>0.61904761904761907</v>
      </c>
      <c r="J210" s="1"/>
    </row>
    <row r="211" spans="2:10" x14ac:dyDescent="0.25">
      <c r="B211" t="str">
        <v>Support</v>
      </c>
      <c r="C211">
        <f>COUNTIF(staff1[Department],B211)</f>
        <v>17</v>
      </c>
      <c r="D211" s="32">
        <f>AVERAGEIFS(staff1[Salary],staff1[Department],B211)</f>
        <v>66432.455882352937</v>
      </c>
      <c r="E211" s="33">
        <f t="shared" si="0"/>
        <v>-7428.8693484163086</v>
      </c>
      <c r="F211" s="37" cm="1">
        <f t="array" ref="F211">_xlfn.ANCHORARRAY(E211)</f>
        <v>-7428.8693484163086</v>
      </c>
      <c r="G211" s="31">
        <f>_xlfn.MAXIFS(staff1[Salary],staff1[Department],B211)</f>
        <v>104802.63</v>
      </c>
      <c r="H211" s="31" cm="1">
        <f t="array" ref="H211">MEDIAN(_xlfn._xlws.FILTER(staff1[Salary],staff1[Department]=B211))</f>
        <v>61214.26</v>
      </c>
      <c r="I211" s="43">
        <f>COUNTIFS(staff1[Department],B211,staff1[Gender],"Female")/C211</f>
        <v>0.47058823529411764</v>
      </c>
      <c r="J211" s="1"/>
    </row>
    <row r="212" spans="2:10" x14ac:dyDescent="0.25">
      <c r="B212" t="str">
        <v>Training</v>
      </c>
      <c r="C212">
        <f>COUNTIF(staff1[Department],B212)</f>
        <v>24</v>
      </c>
      <c r="D212" s="32">
        <f>AVERAGEIFS(staff1[Salary],staff1[Department],B212)</f>
        <v>83883.965000000011</v>
      </c>
      <c r="E212" s="33">
        <f t="shared" si="0"/>
        <v>10022.639769230766</v>
      </c>
      <c r="F212" s="37" cm="1">
        <f t="array" ref="F212">_xlfn.ANCHORARRAY(E212)</f>
        <v>10022.639769230766</v>
      </c>
      <c r="G212" s="31">
        <f>_xlfn.MAXIFS(staff1[Salary],staff1[Department],B212)</f>
        <v>116767.63</v>
      </c>
      <c r="H212" s="31" cm="1">
        <f t="array" ref="H212">MEDIAN(_xlfn._xlws.FILTER(staff1[Salary],staff1[Department]=B212))</f>
        <v>89569.44</v>
      </c>
      <c r="I212" s="43">
        <f>COUNTIFS(staff1[Department],B212,staff1[Gender],"Female")/C212</f>
        <v>0.70833333333333337</v>
      </c>
      <c r="J212" s="1"/>
    </row>
    <row r="213" spans="2:10" x14ac:dyDescent="0.25">
      <c r="J213" s="1"/>
    </row>
    <row r="214" spans="2:10" x14ac:dyDescent="0.25">
      <c r="J214" s="1"/>
    </row>
    <row r="215" spans="2:10" x14ac:dyDescent="0.25">
      <c r="J215" s="1"/>
    </row>
    <row r="216" spans="2:10" x14ac:dyDescent="0.25">
      <c r="J216" s="1"/>
    </row>
    <row r="217" spans="2:10" x14ac:dyDescent="0.25">
      <c r="J217" s="1"/>
    </row>
    <row r="218" spans="2:10" x14ac:dyDescent="0.25">
      <c r="J218" s="1"/>
    </row>
    <row r="219" spans="2:10" x14ac:dyDescent="0.25">
      <c r="J219" s="1"/>
    </row>
    <row r="220" spans="2:10" x14ac:dyDescent="0.25">
      <c r="J220" s="1"/>
    </row>
    <row r="221" spans="2:10" x14ac:dyDescent="0.25">
      <c r="J221" s="1"/>
    </row>
    <row r="222" spans="2:10" x14ac:dyDescent="0.25">
      <c r="J222" s="1"/>
    </row>
    <row r="223" spans="2:10" x14ac:dyDescent="0.25">
      <c r="J223" s="1"/>
    </row>
    <row r="224" spans="2:10" x14ac:dyDescent="0.25">
      <c r="J224" s="1"/>
    </row>
    <row r="225" spans="10:10" x14ac:dyDescent="0.25">
      <c r="J225" s="1"/>
    </row>
    <row r="226" spans="10:10" x14ac:dyDescent="0.25">
      <c r="J226" s="1"/>
    </row>
    <row r="227" spans="10:10" x14ac:dyDescent="0.25">
      <c r="J227" s="1"/>
    </row>
    <row r="228" spans="10:10" x14ac:dyDescent="0.25">
      <c r="J228" s="1"/>
    </row>
    <row r="229" spans="10:10" x14ac:dyDescent="0.25">
      <c r="J229" s="1"/>
    </row>
    <row r="230" spans="10:10" x14ac:dyDescent="0.25">
      <c r="J230" s="1"/>
    </row>
    <row r="231" spans="10:10" x14ac:dyDescent="0.25">
      <c r="J231" s="1"/>
    </row>
    <row r="232" spans="10:10" x14ac:dyDescent="0.25">
      <c r="J232" s="1"/>
    </row>
    <row r="233" spans="10:10" x14ac:dyDescent="0.25">
      <c r="J233" s="1"/>
    </row>
    <row r="234" spans="10:10" x14ac:dyDescent="0.25">
      <c r="J234" s="1"/>
    </row>
    <row r="235" spans="10:10" x14ac:dyDescent="0.25">
      <c r="J235" s="1"/>
    </row>
    <row r="236" spans="10:10" x14ac:dyDescent="0.25">
      <c r="J236" s="1"/>
    </row>
    <row r="237" spans="10:10" x14ac:dyDescent="0.25">
      <c r="J237" s="1"/>
    </row>
    <row r="238" spans="10:10" x14ac:dyDescent="0.25">
      <c r="J238" s="1"/>
    </row>
    <row r="239" spans="10:10" x14ac:dyDescent="0.25">
      <c r="J239" s="1"/>
    </row>
    <row r="240" spans="10:10" x14ac:dyDescent="0.25">
      <c r="J240" s="1"/>
    </row>
    <row r="241" spans="10:10" x14ac:dyDescent="0.25">
      <c r="J241" s="1"/>
    </row>
    <row r="242" spans="10:10" x14ac:dyDescent="0.25">
      <c r="J242" s="1"/>
    </row>
    <row r="243" spans="10:10" x14ac:dyDescent="0.25">
      <c r="J243" s="1"/>
    </row>
    <row r="244" spans="10:10" x14ac:dyDescent="0.25">
      <c r="J244" s="1"/>
    </row>
    <row r="245" spans="10:10" x14ac:dyDescent="0.25">
      <c r="J245" s="1"/>
    </row>
    <row r="246" spans="10:10" x14ac:dyDescent="0.25">
      <c r="J246" s="1"/>
    </row>
    <row r="247" spans="10:10" x14ac:dyDescent="0.25">
      <c r="J247" s="1"/>
    </row>
    <row r="248" spans="10:10" x14ac:dyDescent="0.25">
      <c r="J248" s="1"/>
    </row>
    <row r="249" spans="10:10" x14ac:dyDescent="0.25">
      <c r="J249" s="1"/>
    </row>
    <row r="250" spans="10:10" x14ac:dyDescent="0.25">
      <c r="J250" s="1"/>
    </row>
    <row r="251" spans="10:10" x14ac:dyDescent="0.25">
      <c r="J251" s="1"/>
    </row>
    <row r="252" spans="10:10" x14ac:dyDescent="0.25">
      <c r="J252" s="1"/>
    </row>
    <row r="253" spans="10:10" x14ac:dyDescent="0.25">
      <c r="J253" s="1"/>
    </row>
    <row r="254" spans="10:10" x14ac:dyDescent="0.25">
      <c r="J254" s="1"/>
    </row>
    <row r="255" spans="10:10" x14ac:dyDescent="0.25">
      <c r="J255" s="1"/>
    </row>
    <row r="256" spans="10:10" x14ac:dyDescent="0.25">
      <c r="J256" s="1"/>
    </row>
    <row r="257" spans="10:10" x14ac:dyDescent="0.25">
      <c r="J257" s="1"/>
    </row>
  </sheetData>
  <mergeCells count="14">
    <mergeCell ref="B130:E130"/>
    <mergeCell ref="B197:G197"/>
    <mergeCell ref="E200:F200"/>
    <mergeCell ref="B79:C79"/>
    <mergeCell ref="B85:C85"/>
    <mergeCell ref="E79:G79"/>
    <mergeCell ref="B92:C92"/>
    <mergeCell ref="B98:E98"/>
    <mergeCell ref="B105:E105"/>
    <mergeCell ref="B1:G1"/>
    <mergeCell ref="B17:G17"/>
    <mergeCell ref="B45:G45"/>
    <mergeCell ref="B63:E63"/>
    <mergeCell ref="B78:G78"/>
  </mergeCells>
  <conditionalFormatting sqref="E201:E212">
    <cfRule type="dataBar" priority="1">
      <dataBar showValue="0">
        <cfvo type="min"/>
        <cfvo type="max"/>
        <color rgb="FF638EC6"/>
      </dataBar>
      <extLst>
        <ext xmlns:x14="http://schemas.microsoft.com/office/spreadsheetml/2009/9/main" uri="{B025F937-C7B1-47D3-B67F-A62EFF666E3E}">
          <x14:id>{A55C492E-0AF1-47D5-B25F-52605CEE1B37}</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A55C492E-0AF1-47D5-B25F-52605CEE1B37}">
            <x14:dataBar minLength="0" maxLength="100" gradient="0">
              <x14:cfvo type="autoMin"/>
              <x14:cfvo type="autoMax"/>
              <x14:negativeFillColor rgb="FFFF0000"/>
              <x14:axisColor rgb="FF000000"/>
            </x14:dataBar>
          </x14:cfRule>
          <xm:sqref>E201:E212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Srivastav</dc:creator>
  <cp:lastModifiedBy>Aman Srivastav</cp:lastModifiedBy>
  <dcterms:created xsi:type="dcterms:W3CDTF">2025-12-12T12:56:34Z</dcterms:created>
  <dcterms:modified xsi:type="dcterms:W3CDTF">2025-12-16T17:40:11Z</dcterms:modified>
</cp:coreProperties>
</file>